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550" windowHeight="16980"/>
  </bookViews>
  <sheets>
    <sheet name="单风场测量指标" sheetId="1" r:id="rId1"/>
    <sheet name="成本指标" sheetId="2" r:id="rId2"/>
    <sheet name="corss_turbine" sheetId="3" r:id="rId3"/>
    <sheet name="A源跨风场" sheetId="4" r:id="rId4"/>
    <sheet name="B源跨风场" sheetId="5" r:id="rId5"/>
    <sheet name="C源跨风场" sheetId="6" r:id="rId6"/>
    <sheet name="RQ3总表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<sst xmlns="http://schemas.openxmlformats.org/spreadsheetml/2006/main" count="8475" uniqueCount="179">
  <si>
    <t/>
  </si>
  <si>
    <t>Track 1最终结果：多运行点模型按{0.1%, 0.5%, 1%, 3%, 5%, 10%, 20%, 25%}聚合；原生/单一决策规则模型保持其原始输出。</t>
  </si>
  <si>
    <t>空格就是该方法没有符合指标定义的点，不是错误</t>
  </si>
  <si>
    <t>正常事件只计算标蓝的指标,标蓝的指标也只统计正常事件</t>
  </si>
  <si>
    <t>风机场景指标</t>
  </si>
  <si>
    <t>h</t>
  </si>
  <si>
    <t>/</t>
  </si>
  <si>
    <t>acc</t>
  </si>
  <si>
    <t>point-precision</t>
  </si>
  <si>
    <t>point_recall</t>
  </si>
  <si>
    <t>point_f1</t>
  </si>
  <si>
    <t>event_precision</t>
  </si>
  <si>
    <t>event_recall</t>
  </si>
  <si>
    <t>event_f1</t>
  </si>
  <si>
    <t>event_affiliation_f1</t>
  </si>
  <si>
    <t>range_precision</t>
  </si>
  <si>
    <t>range_recall</t>
  </si>
  <si>
    <t>range_f1</t>
  </si>
  <si>
    <t>affiliation_precision</t>
  </si>
  <si>
    <t>affiliation_recall</t>
  </si>
  <si>
    <t>affliation_f1</t>
  </si>
  <si>
    <t>auc_pr</t>
  </si>
  <si>
    <t>auc_roc</t>
  </si>
  <si>
    <t>range_auc_pr</t>
  </si>
  <si>
    <t>range_auc_roc</t>
  </si>
  <si>
    <t>vus_pr</t>
  </si>
  <si>
    <t>vus_roc</t>
  </si>
  <si>
    <t>mean lead time</t>
  </si>
  <si>
    <t>mean detection delay</t>
  </si>
  <si>
    <t>early detection rate</t>
  </si>
  <si>
    <t>false alarms per turbine-day</t>
  </si>
  <si>
    <t>MTBFA</t>
  </si>
  <si>
    <t>A</t>
  </si>
  <si>
    <t>non-learning</t>
  </si>
  <si>
    <t>cblof</t>
  </si>
  <si>
    <t>hbos</t>
  </si>
  <si>
    <t>lof</t>
  </si>
  <si>
    <t>machine-learning</t>
  </si>
  <si>
    <t>eif</t>
  </si>
  <si>
    <t>if</t>
  </si>
  <si>
    <t>kmeans</t>
  </si>
  <si>
    <t>knn</t>
  </si>
  <si>
    <t>loda</t>
  </si>
  <si>
    <t>pca</t>
  </si>
  <si>
    <t>torsk</t>
  </si>
  <si>
    <t>ocsvm</t>
  </si>
  <si>
    <t>deep-learning</t>
  </si>
  <si>
    <t>dagmm</t>
  </si>
  <si>
    <t>deeppoint</t>
  </si>
  <si>
    <t>ae</t>
  </si>
  <si>
    <t>anomaly_transformer</t>
  </si>
  <si>
    <t>catch</t>
  </si>
  <si>
    <t>dcdetector</t>
  </si>
  <si>
    <t>duet</t>
  </si>
  <si>
    <t>lstmed</t>
  </si>
  <si>
    <t>timesnet</t>
  </si>
  <si>
    <t>transad</t>
  </si>
  <si>
    <t>d3r</t>
  </si>
  <si>
    <t>gdn</t>
  </si>
  <si>
    <t>mscred</t>
  </si>
  <si>
    <t>mtad_gat</t>
  </si>
  <si>
    <t>omnianomaly</t>
  </si>
  <si>
    <t>usad</t>
  </si>
  <si>
    <t>mtgflow</t>
  </si>
  <si>
    <t>sarad</t>
  </si>
  <si>
    <t>llm-based</t>
  </si>
  <si>
    <t>gpt4ts</t>
  </si>
  <si>
    <t>unitime</t>
  </si>
  <si>
    <t>ts pre-trained</t>
  </si>
  <si>
    <t>chronos</t>
  </si>
  <si>
    <t>dada</t>
  </si>
  <si>
    <t>moment</t>
  </si>
  <si>
    <t>units</t>
  </si>
  <si>
    <t>domain llm</t>
  </si>
  <si>
    <t>rpcl_tcne_mts_llm</t>
  </si>
  <si>
    <t>B</t>
  </si>
  <si>
    <t>C</t>
  </si>
  <si>
    <t>正常事件只计算标蓝的指标</t>
  </si>
  <si>
    <t>efficiency</t>
  </si>
  <si>
    <t>s</t>
  </si>
  <si>
    <t>MB</t>
  </si>
  <si>
    <t>%</t>
  </si>
  <si>
    <t>FLOPs</t>
  </si>
  <si>
    <t>count</t>
  </si>
  <si>
    <t>fit_time</t>
  </si>
  <si>
    <t>fit_gpu_mem</t>
  </si>
  <si>
    <t>fit_cpu_use_per</t>
  </si>
  <si>
    <t>infer_time</t>
  </si>
  <si>
    <t>infer_gpu_mem</t>
  </si>
  <si>
    <t>infei_cpu_use_per</t>
  </si>
  <si>
    <t>flops</t>
  </si>
  <si>
    <t>n_params</t>
  </si>
  <si>
    <t>model_size</t>
  </si>
  <si>
    <t xml:space="preserve">
1.623</t>
  </si>
  <si>
    <t xml:space="preserve">
7.761</t>
  </si>
  <si>
    <t xml:space="preserve">
11.407</t>
  </si>
  <si>
    <t>空格就是未检测出来，不是错误</t>
  </si>
  <si>
    <t>A-&gt;A</t>
  </si>
  <si>
    <t>B-&gt;B</t>
  </si>
  <si>
    <t>C-&gt;C</t>
  </si>
  <si>
    <t>异常事件指标</t>
  </si>
  <si>
    <t>point/event/range/affiliation、AUC、VUS、提前量、检测延迟、提前检出率</t>
  </si>
  <si>
    <t>正常事件指标</t>
  </si>
  <si>
    <t>acc、false_alarms_per_turbine_day、MTBFA</t>
  </si>
  <si>
    <t>汇总顺序</t>
  </si>
  <si>
    <t>事件 → 风机 → 迁移方向宏平均；不直接拼接全部时间点</t>
  </si>
  <si>
    <t>阈值</t>
  </si>
  <si>
    <t>每个模型×源场在源场正常训练分数上按 1% FPR 预算确定，不是统一数值</t>
  </si>
  <si>
    <t>单位</t>
  </si>
  <si>
    <t>mean_lead_time / mean_detection_delay / MTBFA 为采样点；144点/天，提前检出阈值288点≈2天</t>
  </si>
  <si>
    <t>A-&gt;B</t>
  </si>
  <si>
    <t>A-&gt;C</t>
  </si>
  <si>
    <t>A、B 目标场都只有 2 个异常事件和 2 个正常事件；C 只有 6 个异常、7 个正常事件。单个事件就能明显改变方向结果。</t>
  </si>
  <si>
    <t>不能概括成“所有跨场方向都比跨风机差”。</t>
  </si>
  <si>
    <t>B-&gt;A</t>
  </si>
  <si>
    <t>B-&gt;C</t>
  </si>
  <si>
    <t>C&gt;A</t>
  </si>
  <si>
    <t>C-&gt;B</t>
  </si>
  <si>
    <t>RQ3：匹配正常点FPR预算下的运行点总表</t>
  </si>
  <si>
    <t>来源：36个模型保存的score轨连续异常分数；共3420条原始序列记录、13680条逐事件预算结果。该分析为测试集后处理，不代表部署时的独立校准。</t>
  </si>
  <si>
    <t>1%为论文主运行点；0.1%、0.5%和2%用于敏感性分析。正的排名变化表示模型在提前检出率上的排名优于其VUS-PR排名。预算按全部评估序列中的已标注正常点匹配。</t>
  </si>
  <si>
    <t>结果类型</t>
  </si>
  <si>
    <t>正常点FPR预算</t>
  </si>
  <si>
    <t>方法类别</t>
  </si>
  <si>
    <t>模型标识</t>
  </si>
  <si>
    <t>模型名称</t>
  </si>
  <si>
    <t>VUS-PR</t>
  </si>
  <si>
    <t>VUS-PR排名</t>
  </si>
  <si>
    <t>Event Precision</t>
  </si>
  <si>
    <t>Event Recall</t>
  </si>
  <si>
    <t>Event F1</t>
  </si>
  <si>
    <t>Event F1排名</t>
  </si>
  <si>
    <t>提前检出率</t>
  </si>
  <si>
    <t>提前检出率排名</t>
  </si>
  <si>
    <t>排名变化（VUS→EDR）</t>
  </si>
  <si>
    <t>平均提前时间 (h)</t>
  </si>
  <si>
    <t>平均检测延迟 (h)</t>
  </si>
  <si>
    <t>全事件FA/风机日</t>
  </si>
  <si>
    <t>正常序列FA/风机日</t>
  </si>
  <si>
    <t>实际正常点FPR</t>
  </si>
  <si>
    <t>事件数</t>
  </si>
  <si>
    <t>MTGFlow</t>
  </si>
  <si>
    <t>DAGMM</t>
  </si>
  <si>
    <t>LSTMED</t>
  </si>
  <si>
    <t>AnomalyTransformer</t>
  </si>
  <si>
    <t>MOMENT</t>
  </si>
  <si>
    <t>UniTime</t>
  </si>
  <si>
    <t>D3R</t>
  </si>
  <si>
    <t>PCA</t>
  </si>
  <si>
    <t>AutoEncoder</t>
  </si>
  <si>
    <t>DCdetector</t>
  </si>
  <si>
    <t>TimesNet</t>
  </si>
  <si>
    <t>OCSVM</t>
  </si>
  <si>
    <t>Chronos</t>
  </si>
  <si>
    <t>CATCH</t>
  </si>
  <si>
    <t>CBLOF</t>
  </si>
  <si>
    <t>GPT4TS</t>
  </si>
  <si>
    <t>tranad</t>
  </si>
  <si>
    <t>TranAD</t>
  </si>
  <si>
    <t>DUET</t>
  </si>
  <si>
    <t>LODA</t>
  </si>
  <si>
    <t>EIF</t>
  </si>
  <si>
    <t>Torsk</t>
  </si>
  <si>
    <t>UniTS</t>
  </si>
  <si>
    <t>DADA</t>
  </si>
  <si>
    <t>DeepPoint</t>
  </si>
  <si>
    <t>KNN</t>
  </si>
  <si>
    <t>LOF</t>
  </si>
  <si>
    <t>RPCL-TCNE-MTS-LLM</t>
  </si>
  <si>
    <t>HBOS</t>
  </si>
  <si>
    <t>iforest</t>
  </si>
  <si>
    <t>IForest</t>
  </si>
  <si>
    <t>MTAD-GAT</t>
  </si>
  <si>
    <t>KMeans</t>
  </si>
  <si>
    <t>GDN</t>
  </si>
  <si>
    <t>MSCRED</t>
  </si>
  <si>
    <t>USAD</t>
  </si>
  <si>
    <t>SARAD</t>
  </si>
  <si>
    <t>OmniAnomaly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</si>
</sst>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  <numFmt numFmtId="177" formatCode="0.000"/>
    <numFmt numFmtId="178" formatCode="0.0000%"/>
    <numFmt numFmtId="179" formatCode="0.000000"/>
  </numFmts>
  <fonts count="31">
    <font>
      <sz val="10"/>
      <name val="Microsoft YaHei"/>
      <charset val="134"/>
    </font>
    <font>
      <b/>
      <sz val="14"/>
      <color rgb="FF000000"/>
      <name val="Microsoft YaHei"/>
      <charset val="134"/>
    </font>
    <font>
      <sz val="10"/>
      <color rgb="FFFF0000"/>
      <name val="Microsoft YaHei"/>
      <charset val="134"/>
    </font>
    <font>
      <i/>
      <sz val="10"/>
      <color rgb="FF444444"/>
      <name val="Microsoft YaHei"/>
      <charset val="134"/>
    </font>
    <font>
      <b/>
      <sz val="10"/>
      <color rgb="FF000000"/>
      <name val="Microsoft YaHei"/>
      <charset val="134"/>
    </font>
    <font>
      <sz val="10"/>
      <color rgb="FF000000"/>
      <name val="Microsoft YaHei"/>
      <charset val="134"/>
    </font>
    <font>
      <b/>
      <sz val="11"/>
      <color rgb="FF17365D"/>
      <name val="Carlito"/>
      <charset val="134"/>
    </font>
    <font>
      <sz val="11"/>
      <name val="Carlito"/>
      <charset val="134"/>
    </font>
    <font>
      <b/>
      <sz val="10"/>
      <name val="Microsoft YaHei"/>
      <charset val="134"/>
    </font>
    <font>
      <b/>
      <sz val="10"/>
      <color rgb="FFFF0000"/>
      <name val="Microsoft YaHei"/>
      <charset val="134"/>
    </font>
    <font>
      <sz val="10"/>
      <color rgb="FFC00000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8CDDFA"/>
        <bgColor indexed="64"/>
      </patternFill>
    </fill>
    <fill>
      <patternFill patternType="solid">
        <fgColor rgb="FFEAF6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/>
      <right/>
      <top style="thin">
        <color rgb="FFB8C2CC"/>
      </top>
      <bottom style="thin">
        <color rgb="FFB8C2CC"/>
      </bottom>
      <diagonal/>
    </border>
    <border>
      <left/>
      <right style="thin">
        <color rgb="FFB8C2CC"/>
      </right>
      <top style="thin">
        <color rgb="FFB8C2CC"/>
      </top>
      <bottom style="thin">
        <color rgb="FFB8C2CC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1" fillId="0" borderId="0">
      <alignment vertical="center"/>
    </xf>
    <xf numFmtId="44" fontId="11" fillId="0" borderId="0">
      <alignment vertical="center"/>
    </xf>
    <xf numFmtId="9" fontId="11" fillId="0" borderId="0">
      <alignment vertical="center"/>
    </xf>
    <xf numFmtId="41" fontId="11" fillId="0" borderId="0">
      <alignment vertical="center"/>
    </xf>
    <xf numFmtId="42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1" fillId="5" borderId="15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16">
      <alignment vertical="center"/>
    </xf>
    <xf numFmtId="0" fontId="18" fillId="0" borderId="16">
      <alignment vertical="center"/>
    </xf>
    <xf numFmtId="0" fontId="19" fillId="0" borderId="17">
      <alignment vertical="center"/>
    </xf>
    <xf numFmtId="0" fontId="19" fillId="0" borderId="0">
      <alignment vertical="center"/>
    </xf>
    <xf numFmtId="0" fontId="20" fillId="6" borderId="18">
      <alignment vertical="center"/>
    </xf>
    <xf numFmtId="0" fontId="21" fillId="7" borderId="19">
      <alignment vertical="center"/>
    </xf>
    <xf numFmtId="0" fontId="22" fillId="7" borderId="18">
      <alignment vertical="center"/>
    </xf>
    <xf numFmtId="0" fontId="23" fillId="8" borderId="20">
      <alignment vertical="center"/>
    </xf>
    <xf numFmtId="0" fontId="24" fillId="0" borderId="21">
      <alignment vertical="center"/>
    </xf>
    <xf numFmtId="0" fontId="25" fillId="0" borderId="22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30" fillId="13" borderId="0">
      <alignment vertical="center"/>
    </xf>
    <xf numFmtId="0" fontId="30" fillId="14" borderId="0">
      <alignment vertical="center"/>
    </xf>
    <xf numFmtId="0" fontId="29" fillId="15" borderId="0">
      <alignment vertical="center"/>
    </xf>
    <xf numFmtId="0" fontId="29" fillId="16" borderId="0">
      <alignment vertical="center"/>
    </xf>
    <xf numFmtId="0" fontId="30" fillId="17" borderId="0">
      <alignment vertical="center"/>
    </xf>
    <xf numFmtId="0" fontId="30" fillId="18" borderId="0">
      <alignment vertical="center"/>
    </xf>
    <xf numFmtId="0" fontId="29" fillId="19" borderId="0">
      <alignment vertical="center"/>
    </xf>
    <xf numFmtId="0" fontId="29" fillId="20" borderId="0">
      <alignment vertical="center"/>
    </xf>
    <xf numFmtId="0" fontId="30" fillId="21" borderId="0">
      <alignment vertical="center"/>
    </xf>
    <xf numFmtId="0" fontId="30" fillId="22" borderId="0">
      <alignment vertical="center"/>
    </xf>
    <xf numFmtId="0" fontId="29" fillId="23" borderId="0">
      <alignment vertical="center"/>
    </xf>
    <xf numFmtId="0" fontId="29" fillId="24" borderId="0">
      <alignment vertical="center"/>
    </xf>
    <xf numFmtId="0" fontId="30" fillId="25" borderId="0">
      <alignment vertical="center"/>
    </xf>
    <xf numFmtId="0" fontId="30" fillId="26" borderId="0">
      <alignment vertical="center"/>
    </xf>
    <xf numFmtId="0" fontId="29" fillId="27" borderId="0">
      <alignment vertical="center"/>
    </xf>
    <xf numFmtId="0" fontId="29" fillId="28" borderId="0">
      <alignment vertical="center"/>
    </xf>
    <xf numFmtId="0" fontId="30" fillId="29" borderId="0">
      <alignment vertical="center"/>
    </xf>
    <xf numFmtId="0" fontId="30" fillId="30" borderId="0">
      <alignment vertical="center"/>
    </xf>
    <xf numFmtId="0" fontId="29" fillId="31" borderId="0">
      <alignment vertical="center"/>
    </xf>
    <xf numFmtId="0" fontId="29" fillId="32" borderId="0">
      <alignment vertical="center"/>
    </xf>
    <xf numFmtId="0" fontId="30" fillId="33" borderId="0">
      <alignment vertical="center"/>
    </xf>
    <xf numFmtId="0" fontId="30" fillId="34" borderId="0">
      <alignment vertical="center"/>
    </xf>
    <xf numFmtId="0" fontId="29" fillId="35" borderId="0">
      <alignment vertical="center"/>
    </xf>
  </cellStyleXfs>
  <cellXfs count="58">
    <xf numFmtId="0" fontId="0" fillId="0" borderId="0" xfId="0" applyAlignment="1">
      <alignment vertical="center"/>
    </xf>
    <xf numFmtId="0" fontId="0" fillId="0" borderId="0" xfId="0" applyAlignment="1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10" fontId="5" fillId="0" borderId="2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horizontal="left" vertical="center"/>
    </xf>
    <xf numFmtId="176" fontId="5" fillId="0" borderId="2" xfId="0" applyNumberFormat="1" applyFont="1" applyBorder="1" applyAlignment="1">
      <alignment horizontal="right" vertical="center"/>
    </xf>
    <xf numFmtId="1" fontId="5" fillId="0" borderId="2" xfId="0" applyNumberFormat="1" applyFont="1" applyBorder="1" applyAlignment="1">
      <alignment horizontal="right" vertical="center"/>
    </xf>
    <xf numFmtId="2" fontId="5" fillId="0" borderId="2" xfId="0" applyNumberFormat="1" applyFont="1" applyBorder="1" applyAlignment="1">
      <alignment horizontal="right" vertical="center"/>
    </xf>
    <xf numFmtId="177" fontId="5" fillId="0" borderId="2" xfId="0" applyNumberFormat="1" applyFont="1" applyBorder="1" applyAlignment="1">
      <alignment horizontal="right" vertical="center"/>
    </xf>
    <xf numFmtId="178" fontId="5" fillId="0" borderId="2" xfId="0" applyNumberFormat="1" applyFont="1" applyBorder="1" applyAlignment="1">
      <alignment horizontal="right" vertical="center"/>
    </xf>
    <xf numFmtId="0" fontId="5" fillId="3" borderId="2" xfId="0" applyFont="1" applyFill="1" applyBorder="1" applyAlignment="1">
      <alignment horizontal="center" vertical="center"/>
    </xf>
    <xf numFmtId="10" fontId="5" fillId="3" borderId="2" xfId="0" applyNumberFormat="1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left" vertical="center"/>
    </xf>
    <xf numFmtId="176" fontId="5" fillId="3" borderId="2" xfId="0" applyNumberFormat="1" applyFont="1" applyFill="1" applyBorder="1" applyAlignment="1">
      <alignment horizontal="right" vertical="center"/>
    </xf>
    <xf numFmtId="1" fontId="5" fillId="3" borderId="2" xfId="0" applyNumberFormat="1" applyFont="1" applyFill="1" applyBorder="1" applyAlignment="1">
      <alignment horizontal="right" vertical="center"/>
    </xf>
    <xf numFmtId="2" fontId="5" fillId="3" borderId="2" xfId="0" applyNumberFormat="1" applyFont="1" applyFill="1" applyBorder="1" applyAlignment="1">
      <alignment horizontal="right" vertical="center"/>
    </xf>
    <xf numFmtId="177" fontId="5" fillId="3" borderId="2" xfId="0" applyNumberFormat="1" applyFont="1" applyFill="1" applyBorder="1" applyAlignment="1">
      <alignment horizontal="right" vertical="center"/>
    </xf>
    <xf numFmtId="178" fontId="5" fillId="3" borderId="2" xfId="0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4" xfId="0" applyBorder="1" applyAlignment="1"/>
    <xf numFmtId="0" fontId="0" fillId="0" borderId="5" xfId="0" applyBorder="1" applyAlignment="1"/>
    <xf numFmtId="0" fontId="0" fillId="4" borderId="0" xfId="0" applyFill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9" xfId="0" applyBorder="1" applyAlignment="1"/>
    <xf numFmtId="0" fontId="6" fillId="4" borderId="10" xfId="0" applyFont="1" applyFill="1" applyBorder="1" applyAlignment="1"/>
    <xf numFmtId="0" fontId="7" fillId="4" borderId="10" xfId="0" applyFont="1" applyFill="1" applyBorder="1" applyAlignment="1">
      <alignment wrapText="1"/>
    </xf>
    <xf numFmtId="0" fontId="0" fillId="0" borderId="11" xfId="0" applyBorder="1" applyAlignment="1"/>
    <xf numFmtId="0" fontId="0" fillId="0" borderId="12" xfId="0" applyBorder="1" applyAlignme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/>
    <xf numFmtId="0" fontId="0" fillId="0" borderId="14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9" fontId="0" fillId="0" borderId="3" xfId="0" applyNumberFormat="1" applyBorder="1" applyAlignment="1">
      <alignment horizontal="center" vertical="center"/>
    </xf>
    <xf numFmtId="179" fontId="0" fillId="0" borderId="6" xfId="0" applyNumberFormat="1" applyBorder="1" applyAlignment="1">
      <alignment horizontal="center" vertical="center"/>
    </xf>
    <xf numFmtId="179" fontId="0" fillId="0" borderId="7" xfId="0" applyNumberFormat="1" applyBorder="1" applyAlignment="1">
      <alignment horizontal="center" vertical="center"/>
    </xf>
    <xf numFmtId="179" fontId="0" fillId="0" borderId="1" xfId="0" applyNumberFormat="1" applyBorder="1" applyAlignment="1">
      <alignment vertical="center"/>
    </xf>
    <xf numFmtId="179" fontId="0" fillId="0" borderId="5" xfId="0" applyNumberFormat="1" applyBorder="1" applyAlignment="1">
      <alignment horizontal="center" vertical="center"/>
    </xf>
    <xf numFmtId="179" fontId="0" fillId="0" borderId="8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7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6"/>
      <tableStyleElement type="headerRow" dxfId="25"/>
      <tableStyleElement type="totalRow" dxfId="24"/>
      <tableStyleElement type="firstColumn" dxfId="23"/>
      <tableStyleElement type="lastColumn" dxfId="22"/>
      <tableStyleElement type="firstRowStripe" dxfId="21"/>
      <tableStyleElement type="firstColumnStripe" dxfId="20"/>
    </tableStyle>
    <tableStyle name="PivotStylePreset2_Accent1" table="0" count="10" xr9:uid="{267968C8-6FFD-4C36-ACC1-9EA1FD1885CA}">
      <tableStyleElement type="headerRow" dxfId="36"/>
      <tableStyleElement type="totalRow" dxfId="35"/>
      <tableStyleElement type="firstRowStripe" dxfId="34"/>
      <tableStyleElement type="firstColumnStripe" dxfId="33"/>
      <tableStyleElement type="firstSubtotalRow" dxfId="32"/>
      <tableStyleElement type="secondSubtotalRow" dxfId="31"/>
      <tableStyleElement type="firstRowSubheading" dxfId="30"/>
      <tableStyleElement type="secondRowSubheading" dxfId="29"/>
      <tableStyleElement type="pageFieldLabels" dxfId="28"/>
      <tableStyleElement type="pageFieldValues" dxfId="2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RQ3TotalTable" displayName="RQ3TotalTable" ref="A4:T148" totalsRowShown="0">
  <autoFilter xmlns:etc="http://www.wps.cn/officeDocument/2017/etCustomData" ref="A4:T148" etc:filterBottomFollowUsedRange="0"/>
  <tableColumns count="20">
    <tableColumn id="1" name="结果类型" dataDxfId="0"/>
    <tableColumn id="2" name="正常点FPR预算" dataDxfId="1"/>
    <tableColumn id="3" name="方法类别" dataDxfId="2"/>
    <tableColumn id="4" name="模型标识" dataDxfId="3"/>
    <tableColumn id="5" name="模型名称" dataDxfId="4"/>
    <tableColumn id="6" name="VUS-PR" dataDxfId="5"/>
    <tableColumn id="7" name="VUS-PR排名" dataDxfId="6"/>
    <tableColumn id="8" name="Event Precision" dataDxfId="7"/>
    <tableColumn id="9" name="Event Recall" dataDxfId="8"/>
    <tableColumn id="10" name="Event F1" dataDxfId="9"/>
    <tableColumn id="11" name="Event F1排名" dataDxfId="10"/>
    <tableColumn id="12" name="提前检出率" dataDxfId="11"/>
    <tableColumn id="13" name="提前检出率排名" dataDxfId="12"/>
    <tableColumn id="14" name="排名变化（VUS→EDR）" dataDxfId="13"/>
    <tableColumn id="15" name="平均提前时间 (h)" dataDxfId="14"/>
    <tableColumn id="16" name="平均检测延迟 (h)" dataDxfId="15"/>
    <tableColumn id="17" name="全事件FA/风机日" dataDxfId="16"/>
    <tableColumn id="18" name="正常序列FA/风机日" dataDxfId="17"/>
    <tableColumn id="19" name="实际正常点FPR" dataDxfId="18"/>
    <tableColumn id="20" name="事件数" dataDxfId="1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39"/>
  <sheetViews>
    <sheetView tabSelected="1" topLeftCell="A10" workbookViewId="0">
      <selection activeCell="Q20" sqref="Q20"/>
    </sheetView>
  </sheetViews>
  <sheetFormatPr defaultColWidth="14" defaultRowHeight="16.5"/>
  <cols>
    <col min="4" max="28" width="9.70833333333333" style="1" customWidth="1"/>
  </cols>
  <sheetData>
    <row r="1" ht="28" customHeight="1" spans="1:37">
      <c r="A1" s="42" t="s">
        <v>0</v>
      </c>
      <c r="B1" s="42" t="s">
        <v>0</v>
      </c>
      <c r="C1" s="42" t="s">
        <v>0</v>
      </c>
      <c r="D1" s="49" t="s">
        <v>1</v>
      </c>
    </row>
    <row r="2" spans="1:37">
      <c r="A2" s="42" t="s">
        <v>0</v>
      </c>
      <c r="B2" s="42" t="s">
        <v>0</v>
      </c>
      <c r="C2" s="42" t="s">
        <v>0</v>
      </c>
      <c r="D2" s="50" t="s">
        <v>2</v>
      </c>
      <c r="J2" s="42" t="s">
        <v>0</v>
      </c>
      <c r="K2" s="42" t="s">
        <v>0</v>
      </c>
      <c r="L2" s="42" t="s">
        <v>0</v>
      </c>
      <c r="M2" s="42" t="s">
        <v>0</v>
      </c>
      <c r="N2" s="42" t="s">
        <v>0</v>
      </c>
      <c r="O2" s="42" t="s">
        <v>0</v>
      </c>
      <c r="P2" s="42" t="s">
        <v>0</v>
      </c>
      <c r="Q2" s="42" t="s">
        <v>0</v>
      </c>
      <c r="R2" s="42" t="s">
        <v>0</v>
      </c>
      <c r="S2" s="42" t="s">
        <v>0</v>
      </c>
      <c r="T2" s="42" t="s">
        <v>0</v>
      </c>
      <c r="U2" s="42" t="s">
        <v>0</v>
      </c>
      <c r="V2" s="42" t="s">
        <v>0</v>
      </c>
      <c r="W2" s="42" t="s">
        <v>0</v>
      </c>
      <c r="X2" s="42" t="s">
        <v>0</v>
      </c>
      <c r="Y2" s="42" t="s">
        <v>0</v>
      </c>
      <c r="Z2" s="42" t="s">
        <v>0</v>
      </c>
      <c r="AA2" s="42" t="s">
        <v>0</v>
      </c>
      <c r="AB2" s="42" t="s">
        <v>0</v>
      </c>
    </row>
    <row r="3" spans="1:37">
      <c r="A3" s="42" t="s">
        <v>0</v>
      </c>
      <c r="B3" s="42" t="s">
        <v>0</v>
      </c>
      <c r="C3" s="40" t="s">
        <v>3</v>
      </c>
      <c r="K3" s="42" t="s">
        <v>0</v>
      </c>
      <c r="L3" s="42" t="s">
        <v>0</v>
      </c>
      <c r="M3" s="42" t="s">
        <v>0</v>
      </c>
      <c r="N3" s="42" t="s">
        <v>0</v>
      </c>
      <c r="O3" s="42" t="s">
        <v>0</v>
      </c>
      <c r="P3" s="42" t="s">
        <v>0</v>
      </c>
      <c r="Q3" s="42" t="s">
        <v>0</v>
      </c>
      <c r="R3" s="42" t="s">
        <v>0</v>
      </c>
      <c r="S3" s="42" t="s">
        <v>0</v>
      </c>
      <c r="T3" s="42" t="s">
        <v>0</v>
      </c>
      <c r="U3" s="42" t="s">
        <v>0</v>
      </c>
      <c r="V3" s="42" t="s">
        <v>0</v>
      </c>
      <c r="W3" s="42" t="s">
        <v>0</v>
      </c>
      <c r="X3" s="22" t="s">
        <v>4</v>
      </c>
      <c r="Y3" s="35"/>
      <c r="Z3" s="35"/>
      <c r="AA3" s="35"/>
      <c r="AB3" s="44"/>
      <c r="AC3" s="34" t="s">
        <v>0</v>
      </c>
    </row>
    <row r="4" spans="1:37">
      <c r="A4" s="42" t="s">
        <v>0</v>
      </c>
      <c r="B4" s="42" t="s">
        <v>0</v>
      </c>
      <c r="C4" s="42" t="s">
        <v>0</v>
      </c>
      <c r="D4" s="42" t="s">
        <v>0</v>
      </c>
      <c r="E4" s="42" t="s">
        <v>0</v>
      </c>
      <c r="F4" s="42" t="s">
        <v>0</v>
      </c>
      <c r="G4" s="42" t="s">
        <v>0</v>
      </c>
      <c r="H4" s="42" t="s">
        <v>0</v>
      </c>
      <c r="I4" s="42" t="s">
        <v>0</v>
      </c>
      <c r="J4" s="42" t="s">
        <v>0</v>
      </c>
      <c r="K4" s="42" t="s">
        <v>0</v>
      </c>
      <c r="L4" s="42" t="s">
        <v>0</v>
      </c>
      <c r="M4" s="42" t="s">
        <v>0</v>
      </c>
      <c r="N4" s="42" t="s">
        <v>0</v>
      </c>
      <c r="O4" s="42" t="s">
        <v>0</v>
      </c>
      <c r="P4" s="42" t="s">
        <v>0</v>
      </c>
      <c r="Q4" s="42" t="s">
        <v>0</v>
      </c>
      <c r="R4" s="42" t="s">
        <v>0</v>
      </c>
      <c r="S4" s="42" t="s">
        <v>0</v>
      </c>
      <c r="T4" s="42" t="s">
        <v>0</v>
      </c>
      <c r="U4" s="42" t="s">
        <v>0</v>
      </c>
      <c r="V4" s="42" t="s">
        <v>0</v>
      </c>
      <c r="W4" s="42" t="s">
        <v>0</v>
      </c>
      <c r="X4" s="22" t="s">
        <v>5</v>
      </c>
      <c r="Y4" s="22" t="s">
        <v>5</v>
      </c>
      <c r="Z4" s="22" t="s">
        <v>6</v>
      </c>
      <c r="AA4" s="22" t="s">
        <v>6</v>
      </c>
      <c r="AB4" s="22" t="s">
        <v>0</v>
      </c>
      <c r="AC4" s="34" t="s">
        <v>0</v>
      </c>
      <c r="AD4" s="34" t="s">
        <v>0</v>
      </c>
      <c r="AE4" s="34" t="s">
        <v>0</v>
      </c>
      <c r="AF4" s="34" t="s">
        <v>0</v>
      </c>
      <c r="AG4" s="34" t="s">
        <v>0</v>
      </c>
      <c r="AH4" s="34" t="s">
        <v>0</v>
      </c>
      <c r="AI4" s="34" t="s">
        <v>0</v>
      </c>
      <c r="AJ4" s="34" t="s">
        <v>0</v>
      </c>
      <c r="AK4" s="34" t="s">
        <v>0</v>
      </c>
    </row>
    <row r="5" spans="1:37">
      <c r="A5" s="22" t="s">
        <v>0</v>
      </c>
      <c r="B5" s="22" t="s">
        <v>0</v>
      </c>
      <c r="C5" s="23" t="s">
        <v>0</v>
      </c>
      <c r="D5" s="24" t="s">
        <v>7</v>
      </c>
      <c r="E5" s="22" t="s">
        <v>8</v>
      </c>
      <c r="F5" s="22" t="s">
        <v>9</v>
      </c>
      <c r="G5" s="22" t="s">
        <v>10</v>
      </c>
      <c r="H5" s="22" t="s">
        <v>11</v>
      </c>
      <c r="I5" s="22" t="s">
        <v>12</v>
      </c>
      <c r="J5" s="22" t="s">
        <v>13</v>
      </c>
      <c r="K5" s="22" t="s">
        <v>14</v>
      </c>
      <c r="L5" s="22" t="s">
        <v>15</v>
      </c>
      <c r="M5" s="22" t="s">
        <v>16</v>
      </c>
      <c r="N5" s="22" t="s">
        <v>17</v>
      </c>
      <c r="O5" s="22" t="s">
        <v>18</v>
      </c>
      <c r="P5" s="22" t="s">
        <v>19</v>
      </c>
      <c r="Q5" s="22" t="s">
        <v>20</v>
      </c>
      <c r="R5" s="22" t="s">
        <v>21</v>
      </c>
      <c r="S5" s="22" t="s">
        <v>22</v>
      </c>
      <c r="T5" s="22" t="s">
        <v>23</v>
      </c>
      <c r="U5" s="22" t="s">
        <v>24</v>
      </c>
      <c r="V5" s="22" t="s">
        <v>25</v>
      </c>
      <c r="W5" s="25" t="s">
        <v>26</v>
      </c>
      <c r="X5" s="22" t="s">
        <v>27</v>
      </c>
      <c r="Y5" s="22" t="s">
        <v>28</v>
      </c>
      <c r="Z5" s="22" t="s">
        <v>29</v>
      </c>
      <c r="AA5" s="24" t="s">
        <v>30</v>
      </c>
      <c r="AB5" s="24" t="s">
        <v>31</v>
      </c>
      <c r="AC5" s="34" t="s">
        <v>0</v>
      </c>
      <c r="AD5" s="34" t="s">
        <v>0</v>
      </c>
      <c r="AE5" s="34" t="s">
        <v>0</v>
      </c>
      <c r="AF5" s="34" t="s">
        <v>0</v>
      </c>
      <c r="AG5" s="34" t="s">
        <v>0</v>
      </c>
      <c r="AH5" s="34" t="s">
        <v>0</v>
      </c>
      <c r="AI5" s="34" t="s">
        <v>0</v>
      </c>
      <c r="AJ5" s="34" t="s">
        <v>0</v>
      </c>
      <c r="AK5" s="34" t="s">
        <v>0</v>
      </c>
    </row>
    <row r="6" spans="1:37">
      <c r="A6" s="22" t="s">
        <v>32</v>
      </c>
      <c r="B6" s="22" t="s">
        <v>33</v>
      </c>
      <c r="C6" s="26" t="s">
        <v>34</v>
      </c>
      <c r="D6" s="51">
        <v>0.9748040904</v>
      </c>
      <c r="E6" s="51">
        <v>0.7655263206</v>
      </c>
      <c r="F6" s="51">
        <v>0.09658552442</v>
      </c>
      <c r="G6" s="51">
        <v>0.1631786412</v>
      </c>
      <c r="H6" s="51">
        <v>0.7613877439</v>
      </c>
      <c r="I6" s="51">
        <v>1</v>
      </c>
      <c r="J6" s="51">
        <v>0.8532181716</v>
      </c>
      <c r="K6" s="51">
        <v>0.08920035423</v>
      </c>
      <c r="L6" s="51">
        <v>0.7518910577</v>
      </c>
      <c r="M6" s="51">
        <v>0.2042981223</v>
      </c>
      <c r="N6" s="51">
        <v>0.3177527734</v>
      </c>
      <c r="O6" s="51">
        <v>0.8178144893</v>
      </c>
      <c r="P6" s="51">
        <v>0.9397375154</v>
      </c>
      <c r="Q6" s="51">
        <v>0.8552245236</v>
      </c>
      <c r="R6" s="51">
        <v>0.735388</v>
      </c>
      <c r="S6" s="51">
        <v>0.48932</v>
      </c>
      <c r="T6" s="51">
        <v>0.970666</v>
      </c>
      <c r="U6" s="51">
        <v>0.928781</v>
      </c>
      <c r="V6" s="51">
        <v>0.937577</v>
      </c>
      <c r="W6" s="52">
        <v>0.868851</v>
      </c>
      <c r="X6" s="51">
        <v>40.07142857</v>
      </c>
      <c r="Y6" s="51">
        <v>23.98484848</v>
      </c>
      <c r="Z6" s="51">
        <v>0.1818181818</v>
      </c>
      <c r="AA6" s="51">
        <v>2.18603507</v>
      </c>
      <c r="AB6" s="51">
        <v>10.0526524148852</v>
      </c>
      <c r="AC6" s="34" t="s">
        <v>0</v>
      </c>
      <c r="AD6" s="34" t="s">
        <v>0</v>
      </c>
      <c r="AE6" s="34" t="s">
        <v>0</v>
      </c>
      <c r="AF6" s="34" t="s">
        <v>0</v>
      </c>
      <c r="AG6" s="34" t="s">
        <v>0</v>
      </c>
      <c r="AH6" s="34" t="s">
        <v>0</v>
      </c>
      <c r="AI6" s="34" t="s">
        <v>0</v>
      </c>
      <c r="AJ6" s="34" t="s">
        <v>0</v>
      </c>
      <c r="AK6" s="34" t="s">
        <v>0</v>
      </c>
    </row>
    <row r="7" spans="1:37">
      <c r="A7" s="27"/>
      <c r="B7" s="27"/>
      <c r="C7" s="26" t="s">
        <v>35</v>
      </c>
      <c r="D7" s="51">
        <v>0.9617668763</v>
      </c>
      <c r="E7" s="51">
        <v>0.7307448706</v>
      </c>
      <c r="F7" s="51">
        <v>0.06376967581</v>
      </c>
      <c r="G7" s="51">
        <v>0.113560056</v>
      </c>
      <c r="H7" s="51">
        <v>0.7343293484</v>
      </c>
      <c r="I7" s="51">
        <v>1</v>
      </c>
      <c r="J7" s="51">
        <v>0.838823756</v>
      </c>
      <c r="K7" s="51">
        <v>0.01852255871</v>
      </c>
      <c r="L7" s="51">
        <v>0.7329770325</v>
      </c>
      <c r="M7" s="51">
        <v>0.2013671955</v>
      </c>
      <c r="N7" s="51">
        <v>0.3137824942</v>
      </c>
      <c r="O7" s="51">
        <v>0.7908631288</v>
      </c>
      <c r="P7" s="51">
        <v>0.9535039417</v>
      </c>
      <c r="Q7" s="51">
        <v>0.85910755</v>
      </c>
      <c r="R7" s="51">
        <v>0.746599</v>
      </c>
      <c r="S7" s="51">
        <v>0.497593</v>
      </c>
      <c r="T7" s="51">
        <v>0.974999</v>
      </c>
      <c r="U7" s="51">
        <v>0.937508</v>
      </c>
      <c r="V7" s="51">
        <v>0.943448</v>
      </c>
      <c r="W7" s="52">
        <v>0.879569</v>
      </c>
      <c r="X7" s="51">
        <v>37.52380952</v>
      </c>
      <c r="Y7" s="51">
        <v>17.46969697</v>
      </c>
      <c r="Z7" s="51">
        <v>0.1818181818</v>
      </c>
      <c r="AA7" s="51">
        <v>3.471342728</v>
      </c>
      <c r="AB7" s="51">
        <v>6.32765432098765</v>
      </c>
      <c r="AC7" s="34" t="s">
        <v>0</v>
      </c>
      <c r="AD7" s="34" t="s">
        <v>0</v>
      </c>
      <c r="AE7" s="34" t="s">
        <v>0</v>
      </c>
      <c r="AF7" s="34" t="s">
        <v>0</v>
      </c>
      <c r="AG7" s="34" t="s">
        <v>0</v>
      </c>
      <c r="AH7" s="34" t="s">
        <v>0</v>
      </c>
      <c r="AI7" s="34" t="s">
        <v>0</v>
      </c>
      <c r="AJ7" s="34" t="s">
        <v>0</v>
      </c>
      <c r="AK7" s="34" t="s">
        <v>0</v>
      </c>
    </row>
    <row r="8" spans="1:37">
      <c r="A8" s="27"/>
      <c r="B8" s="28"/>
      <c r="C8" s="26" t="s">
        <v>36</v>
      </c>
      <c r="D8" s="51">
        <v>0.9302456338</v>
      </c>
      <c r="E8" s="51">
        <v>0.7349113218</v>
      </c>
      <c r="F8" s="51">
        <v>0.1383830603</v>
      </c>
      <c r="G8" s="51">
        <v>0.2223196339</v>
      </c>
      <c r="H8" s="51">
        <v>0.7533062915</v>
      </c>
      <c r="I8" s="51">
        <v>1</v>
      </c>
      <c r="J8" s="51">
        <v>0.8513054488</v>
      </c>
      <c r="K8" s="51">
        <v>0.05942914867</v>
      </c>
      <c r="L8" s="51">
        <v>0.7523677227</v>
      </c>
      <c r="M8" s="51">
        <v>0.2016055074</v>
      </c>
      <c r="N8" s="51">
        <v>0.3157535198</v>
      </c>
      <c r="O8" s="51">
        <v>0.784816874</v>
      </c>
      <c r="P8" s="51">
        <v>0.9810982884</v>
      </c>
      <c r="Q8" s="51">
        <v>0.8621669621</v>
      </c>
      <c r="R8" s="51">
        <v>0.728457</v>
      </c>
      <c r="S8" s="51">
        <v>0.453002</v>
      </c>
      <c r="T8" s="51">
        <v>0.972363</v>
      </c>
      <c r="U8" s="51">
        <v>0.93022</v>
      </c>
      <c r="V8" s="51">
        <v>0.937393</v>
      </c>
      <c r="W8" s="52">
        <v>0.864658</v>
      </c>
      <c r="X8" s="51">
        <v>48.54761905</v>
      </c>
      <c r="Y8" s="51">
        <v>2.803030303</v>
      </c>
      <c r="Z8" s="51">
        <v>0.2727272727</v>
      </c>
      <c r="AA8" s="51">
        <v>6.679551604</v>
      </c>
      <c r="AB8" s="51">
        <v>3.51349630761395</v>
      </c>
      <c r="AC8" s="34" t="s">
        <v>0</v>
      </c>
      <c r="AD8" s="34" t="s">
        <v>0</v>
      </c>
      <c r="AE8" s="34" t="s">
        <v>0</v>
      </c>
      <c r="AF8" s="34" t="s">
        <v>0</v>
      </c>
      <c r="AG8" s="34" t="s">
        <v>0</v>
      </c>
      <c r="AH8" s="34" t="s">
        <v>0</v>
      </c>
      <c r="AI8" s="34" t="s">
        <v>0</v>
      </c>
      <c r="AJ8" s="34" t="s">
        <v>0</v>
      </c>
      <c r="AK8" s="34" t="s">
        <v>0</v>
      </c>
    </row>
    <row r="9" spans="1:37">
      <c r="A9" s="27"/>
      <c r="B9" s="22" t="s">
        <v>37</v>
      </c>
      <c r="C9" s="26" t="s">
        <v>38</v>
      </c>
      <c r="D9" s="51">
        <v>0.910202235</v>
      </c>
      <c r="E9" s="51">
        <v>0.7565426756</v>
      </c>
      <c r="F9" s="51">
        <v>0.09323303997</v>
      </c>
      <c r="G9" s="51">
        <v>0.1427431923</v>
      </c>
      <c r="H9" s="51">
        <v>0.7566697262</v>
      </c>
      <c r="I9" s="51">
        <v>0.9431818182</v>
      </c>
      <c r="J9" s="51">
        <v>0.8234318419</v>
      </c>
      <c r="K9" s="51">
        <v>0.02492601025</v>
      </c>
      <c r="L9" s="51">
        <v>0.7564191155</v>
      </c>
      <c r="M9" s="51">
        <v>0.1905562563</v>
      </c>
      <c r="N9" s="51">
        <v>0.2998951874</v>
      </c>
      <c r="O9" s="51">
        <v>0.8230743138</v>
      </c>
      <c r="P9" s="51">
        <v>0.8356739933</v>
      </c>
      <c r="Q9" s="51">
        <v>0.8283060225</v>
      </c>
      <c r="R9" s="51">
        <v>0.785235</v>
      </c>
      <c r="S9" s="51">
        <v>0.568474</v>
      </c>
      <c r="T9" s="51">
        <v>0.977264</v>
      </c>
      <c r="U9" s="51">
        <v>0.945477</v>
      </c>
      <c r="V9" s="51">
        <v>0.949191</v>
      </c>
      <c r="W9" s="52">
        <v>0.897028</v>
      </c>
      <c r="X9" s="51">
        <v>41.66539116</v>
      </c>
      <c r="Y9" s="51">
        <v>23.14655483</v>
      </c>
      <c r="Z9" s="51">
        <v>0.1931818182</v>
      </c>
      <c r="AA9" s="51">
        <v>3.022244088</v>
      </c>
      <c r="AB9" s="51">
        <v>21.3025189887364</v>
      </c>
      <c r="AC9" s="34" t="s">
        <v>0</v>
      </c>
      <c r="AD9" s="34" t="s">
        <v>0</v>
      </c>
      <c r="AE9" s="34" t="s">
        <v>0</v>
      </c>
      <c r="AF9" s="34" t="s">
        <v>0</v>
      </c>
      <c r="AG9" s="34" t="s">
        <v>0</v>
      </c>
      <c r="AH9" s="34" t="s">
        <v>0</v>
      </c>
      <c r="AI9" s="34" t="s">
        <v>0</v>
      </c>
      <c r="AJ9" s="34" t="s">
        <v>0</v>
      </c>
      <c r="AK9" s="34" t="s">
        <v>0</v>
      </c>
    </row>
    <row r="10" spans="1:37">
      <c r="A10" s="27"/>
      <c r="B10" s="27"/>
      <c r="C10" s="26" t="s">
        <v>39</v>
      </c>
      <c r="D10" s="51">
        <v>0.9777207717</v>
      </c>
      <c r="E10" s="51">
        <v>0.7171718337</v>
      </c>
      <c r="F10" s="51">
        <v>0.09914477822</v>
      </c>
      <c r="G10" s="51">
        <v>0.1630553868</v>
      </c>
      <c r="H10" s="51">
        <v>0.7965624686</v>
      </c>
      <c r="I10" s="51">
        <v>1</v>
      </c>
      <c r="J10" s="51">
        <v>0.8791032234</v>
      </c>
      <c r="K10" s="51">
        <v>0.06461173824</v>
      </c>
      <c r="L10" s="51">
        <v>0.7875599937</v>
      </c>
      <c r="M10" s="51">
        <v>0.2027958409</v>
      </c>
      <c r="N10" s="51">
        <v>0.3197282735</v>
      </c>
      <c r="O10" s="51">
        <v>0.7813560308</v>
      </c>
      <c r="P10" s="51">
        <v>0.9466009474</v>
      </c>
      <c r="Q10" s="51">
        <v>0.8425918958</v>
      </c>
      <c r="R10" s="51">
        <v>0.733575</v>
      </c>
      <c r="S10" s="51">
        <v>0.468752</v>
      </c>
      <c r="T10" s="51">
        <v>0.973721</v>
      </c>
      <c r="U10" s="51">
        <v>0.933213</v>
      </c>
      <c r="V10" s="51">
        <v>0.940772</v>
      </c>
      <c r="W10" s="52">
        <v>0.870501</v>
      </c>
      <c r="X10" s="51">
        <v>32.54761905</v>
      </c>
      <c r="Y10" s="51">
        <v>19.78787879</v>
      </c>
      <c r="Z10" s="51">
        <v>0.1818181818</v>
      </c>
      <c r="AA10" s="51">
        <v>1.619285237</v>
      </c>
      <c r="AB10" s="51">
        <v>13.0523193096009</v>
      </c>
      <c r="AC10" s="34" t="s">
        <v>0</v>
      </c>
      <c r="AD10" s="34" t="s">
        <v>0</v>
      </c>
      <c r="AE10" s="34" t="s">
        <v>0</v>
      </c>
      <c r="AF10" s="34" t="s">
        <v>0</v>
      </c>
      <c r="AG10" s="34" t="s">
        <v>0</v>
      </c>
      <c r="AH10" s="34" t="s">
        <v>0</v>
      </c>
      <c r="AI10" s="34" t="s">
        <v>0</v>
      </c>
      <c r="AJ10" s="34" t="s">
        <v>0</v>
      </c>
      <c r="AK10" s="34" t="s">
        <v>0</v>
      </c>
    </row>
    <row r="11" spans="1:37">
      <c r="A11" s="27"/>
      <c r="B11" s="27"/>
      <c r="C11" s="26" t="s">
        <v>40</v>
      </c>
      <c r="D11" s="51">
        <v>0.9345547668</v>
      </c>
      <c r="E11" s="51">
        <v>0.5923032793</v>
      </c>
      <c r="F11" s="51">
        <v>0.1266215905</v>
      </c>
      <c r="G11" s="51">
        <v>0.1906340438</v>
      </c>
      <c r="H11" s="51">
        <v>0.6608991703</v>
      </c>
      <c r="I11" s="51">
        <v>0.7613636364</v>
      </c>
      <c r="J11" s="51">
        <v>0.6975363033</v>
      </c>
      <c r="K11" s="51">
        <v>0.12272437</v>
      </c>
      <c r="L11" s="51">
        <v>0.600121059</v>
      </c>
      <c r="M11" s="51">
        <v>0.1844808664</v>
      </c>
      <c r="N11" s="51">
        <v>0.2762139737</v>
      </c>
      <c r="O11" s="51">
        <v>0.8257725058</v>
      </c>
      <c r="P11" s="51">
        <v>0.5890323738</v>
      </c>
      <c r="Q11" s="51">
        <v>0.7699828694</v>
      </c>
      <c r="R11" s="51">
        <v>0.739183</v>
      </c>
      <c r="S11" s="51">
        <v>0.497875</v>
      </c>
      <c r="T11" s="51">
        <v>0.972955</v>
      </c>
      <c r="U11" s="51">
        <v>0.927271</v>
      </c>
      <c r="V11" s="51">
        <v>0.941784</v>
      </c>
      <c r="W11" s="52">
        <v>0.868796</v>
      </c>
      <c r="X11" s="51">
        <v>41.475</v>
      </c>
      <c r="Y11" s="51">
        <v>82.29072872</v>
      </c>
      <c r="Z11" s="51">
        <v>0.1022727273</v>
      </c>
      <c r="AA11" s="51">
        <v>0.1486453245</v>
      </c>
      <c r="AB11" s="51">
        <v>62.9581544011544</v>
      </c>
      <c r="AC11" s="34" t="s">
        <v>0</v>
      </c>
      <c r="AD11" s="34" t="s">
        <v>0</v>
      </c>
      <c r="AE11" s="34" t="s">
        <v>0</v>
      </c>
      <c r="AF11" s="34" t="s">
        <v>0</v>
      </c>
      <c r="AG11" s="34" t="s">
        <v>0</v>
      </c>
      <c r="AH11" s="34" t="s">
        <v>0</v>
      </c>
      <c r="AI11" s="34" t="s">
        <v>0</v>
      </c>
      <c r="AJ11" s="34" t="s">
        <v>0</v>
      </c>
      <c r="AK11" s="34" t="s">
        <v>0</v>
      </c>
    </row>
    <row r="12" spans="1:37">
      <c r="A12" s="27"/>
      <c r="B12" s="27"/>
      <c r="C12" s="26" t="s">
        <v>41</v>
      </c>
      <c r="D12" s="51">
        <v>0.9498541659</v>
      </c>
      <c r="E12" s="51">
        <v>0.7111186129</v>
      </c>
      <c r="F12" s="51">
        <v>0.1136437317</v>
      </c>
      <c r="G12" s="51">
        <v>0.189800602</v>
      </c>
      <c r="H12" s="51">
        <v>0.719002237</v>
      </c>
      <c r="I12" s="51">
        <v>1</v>
      </c>
      <c r="J12" s="51">
        <v>0.8259174786</v>
      </c>
      <c r="K12" s="51">
        <v>0.07387385085</v>
      </c>
      <c r="L12" s="51">
        <v>0.7150920366</v>
      </c>
      <c r="M12" s="51">
        <v>0.2019940876</v>
      </c>
      <c r="N12" s="51">
        <v>0.3117869893</v>
      </c>
      <c r="O12" s="51">
        <v>0.767014635</v>
      </c>
      <c r="P12" s="51">
        <v>0.9664606271</v>
      </c>
      <c r="Q12" s="51">
        <v>0.8435783251</v>
      </c>
      <c r="R12" s="51">
        <v>0.72467</v>
      </c>
      <c r="S12" s="51">
        <v>0.467317</v>
      </c>
      <c r="T12" s="51">
        <v>0.968593</v>
      </c>
      <c r="U12" s="51">
        <v>0.926585</v>
      </c>
      <c r="V12" s="51">
        <v>0.933526</v>
      </c>
      <c r="W12" s="52">
        <v>0.864688</v>
      </c>
      <c r="X12" s="51">
        <v>42.07142857</v>
      </c>
      <c r="Y12" s="51">
        <v>15</v>
      </c>
      <c r="Z12" s="51">
        <v>0.1818181818</v>
      </c>
      <c r="AA12" s="51">
        <v>4.260744281</v>
      </c>
      <c r="AB12" s="51">
        <v>5.35920577617329</v>
      </c>
      <c r="AC12" s="34" t="s">
        <v>0</v>
      </c>
      <c r="AD12" s="34" t="s">
        <v>0</v>
      </c>
      <c r="AE12" s="34" t="s">
        <v>0</v>
      </c>
      <c r="AF12" s="34" t="s">
        <v>0</v>
      </c>
      <c r="AG12" s="34" t="s">
        <v>0</v>
      </c>
      <c r="AH12" s="34" t="s">
        <v>0</v>
      </c>
      <c r="AI12" s="34" t="s">
        <v>0</v>
      </c>
      <c r="AJ12" s="34" t="s">
        <v>0</v>
      </c>
      <c r="AK12" s="34" t="s">
        <v>0</v>
      </c>
    </row>
    <row r="13" spans="1:37">
      <c r="A13" s="27"/>
      <c r="B13" s="27"/>
      <c r="C13" s="26" t="s">
        <v>42</v>
      </c>
      <c r="D13" s="51">
        <v>0.964367291</v>
      </c>
      <c r="E13" s="51">
        <v>0.7902212466</v>
      </c>
      <c r="F13" s="51">
        <v>0.09061953078</v>
      </c>
      <c r="G13" s="51">
        <v>0.1504879232</v>
      </c>
      <c r="H13" s="51">
        <v>0.7412454535</v>
      </c>
      <c r="I13" s="51">
        <v>0.9090909091</v>
      </c>
      <c r="J13" s="51">
        <v>0.8036441091</v>
      </c>
      <c r="K13" s="51">
        <v>0.04308141969</v>
      </c>
      <c r="L13" s="51">
        <v>0.7409622476</v>
      </c>
      <c r="M13" s="51">
        <v>0.1847857775</v>
      </c>
      <c r="N13" s="51">
        <v>0.2920812327</v>
      </c>
      <c r="O13" s="51">
        <v>0.8157648719</v>
      </c>
      <c r="P13" s="51">
        <v>0.8254037622</v>
      </c>
      <c r="Q13" s="51">
        <v>0.801454441</v>
      </c>
      <c r="R13" s="51">
        <v>0.774155</v>
      </c>
      <c r="S13" s="51">
        <v>0.524095</v>
      </c>
      <c r="T13" s="51">
        <v>0.973642</v>
      </c>
      <c r="U13" s="51">
        <v>0.936111</v>
      </c>
      <c r="V13" s="51">
        <v>0.944888</v>
      </c>
      <c r="W13" s="52">
        <v>0.882131</v>
      </c>
      <c r="X13" s="51">
        <v>51.83333333</v>
      </c>
      <c r="Y13" s="51">
        <v>23.58333333</v>
      </c>
      <c r="Z13" s="51">
        <v>0.2727272727</v>
      </c>
      <c r="AA13" s="51">
        <v>1.583863373</v>
      </c>
      <c r="AB13" s="51">
        <v>10.507174392936</v>
      </c>
      <c r="AC13" s="34" t="s">
        <v>0</v>
      </c>
      <c r="AD13" s="34" t="s">
        <v>0</v>
      </c>
      <c r="AE13" s="34" t="s">
        <v>0</v>
      </c>
      <c r="AF13" s="34" t="s">
        <v>0</v>
      </c>
      <c r="AG13" s="34" t="s">
        <v>0</v>
      </c>
      <c r="AH13" s="34" t="s">
        <v>0</v>
      </c>
      <c r="AI13" s="34" t="s">
        <v>0</v>
      </c>
      <c r="AJ13" s="34" t="s">
        <v>0</v>
      </c>
      <c r="AK13" s="34" t="s">
        <v>0</v>
      </c>
    </row>
    <row r="14" spans="1:37">
      <c r="A14" s="27"/>
      <c r="B14" s="27"/>
      <c r="C14" s="26" t="s">
        <v>43</v>
      </c>
      <c r="D14" s="51">
        <v>0.9818673789</v>
      </c>
      <c r="E14" s="51">
        <v>0.7429079545</v>
      </c>
      <c r="F14" s="51">
        <v>0.09669788737</v>
      </c>
      <c r="G14" s="51">
        <v>0.1572465317</v>
      </c>
      <c r="H14" s="51">
        <v>0.7559774794</v>
      </c>
      <c r="I14" s="51">
        <v>1</v>
      </c>
      <c r="J14" s="51">
        <v>0.8491752725</v>
      </c>
      <c r="K14" s="51">
        <v>0.06482686081</v>
      </c>
      <c r="L14" s="51">
        <v>0.7498762956</v>
      </c>
      <c r="M14" s="51">
        <v>0.2037331097</v>
      </c>
      <c r="N14" s="51">
        <v>0.3170149624</v>
      </c>
      <c r="O14" s="51">
        <v>0.790947876</v>
      </c>
      <c r="P14" s="51">
        <v>0.9258454725</v>
      </c>
      <c r="Q14" s="51">
        <v>0.8333326469</v>
      </c>
      <c r="R14" s="51">
        <v>0.726606</v>
      </c>
      <c r="S14" s="51">
        <v>0.442371</v>
      </c>
      <c r="T14" s="51">
        <v>0.969234</v>
      </c>
      <c r="U14" s="51">
        <v>0.923702</v>
      </c>
      <c r="V14" s="51">
        <v>0.934045</v>
      </c>
      <c r="W14" s="52">
        <v>0.855877</v>
      </c>
      <c r="X14" s="51">
        <v>48.63888889</v>
      </c>
      <c r="Y14" s="51">
        <v>27.33333333</v>
      </c>
      <c r="Z14" s="51">
        <v>0.2727272727</v>
      </c>
      <c r="AA14" s="51">
        <v>1.173981797</v>
      </c>
      <c r="AB14" s="51">
        <v>17.7398190045249</v>
      </c>
      <c r="AC14" s="34" t="s">
        <v>0</v>
      </c>
      <c r="AD14" s="34" t="s">
        <v>0</v>
      </c>
      <c r="AE14" s="34" t="s">
        <v>0</v>
      </c>
      <c r="AF14" s="34" t="s">
        <v>0</v>
      </c>
      <c r="AG14" s="34" t="s">
        <v>0</v>
      </c>
      <c r="AH14" s="34" t="s">
        <v>0</v>
      </c>
      <c r="AI14" s="34" t="s">
        <v>0</v>
      </c>
      <c r="AJ14" s="34" t="s">
        <v>0</v>
      </c>
      <c r="AK14" s="34" t="s">
        <v>0</v>
      </c>
    </row>
    <row r="15" spans="1:37">
      <c r="A15" s="27"/>
      <c r="B15" s="27"/>
      <c r="C15" s="29" t="s">
        <v>44</v>
      </c>
      <c r="D15" s="51">
        <v>0.9237402045</v>
      </c>
      <c r="E15" s="51">
        <v>0.7457166128</v>
      </c>
      <c r="F15" s="51">
        <v>0.08149284116</v>
      </c>
      <c r="G15" s="51">
        <v>0.1318143598</v>
      </c>
      <c r="H15" s="51">
        <v>0.7518441287</v>
      </c>
      <c r="I15" s="51">
        <v>1</v>
      </c>
      <c r="J15" s="51">
        <v>0.8449452603</v>
      </c>
      <c r="K15" s="51">
        <v>0.01047548748</v>
      </c>
      <c r="L15" s="51">
        <v>0.7496890223</v>
      </c>
      <c r="M15" s="51">
        <v>0.2010032774</v>
      </c>
      <c r="N15" s="51">
        <v>0.3129642011</v>
      </c>
      <c r="O15" s="51">
        <v>0.7990058198</v>
      </c>
      <c r="P15" s="51">
        <v>0.9290968868</v>
      </c>
      <c r="Q15" s="51">
        <v>0.8485677301</v>
      </c>
      <c r="R15" s="51">
        <v>0.72995</v>
      </c>
      <c r="S15" s="51">
        <v>0.507953</v>
      </c>
      <c r="T15" s="51">
        <v>0.967277</v>
      </c>
      <c r="U15" s="51">
        <v>0.928057</v>
      </c>
      <c r="V15" s="51">
        <v>0.931984</v>
      </c>
      <c r="W15" s="52">
        <v>0.869758</v>
      </c>
      <c r="X15" s="51">
        <v>43.86422902</v>
      </c>
      <c r="Y15" s="51">
        <v>25.19128788</v>
      </c>
      <c r="Z15" s="51">
        <v>0.1704545455</v>
      </c>
      <c r="AA15" s="51">
        <v>5.827529255</v>
      </c>
      <c r="AB15" s="51">
        <v>20.3967233217481</v>
      </c>
      <c r="AC15" s="34" t="s">
        <v>0</v>
      </c>
      <c r="AD15" s="34" t="s">
        <v>0</v>
      </c>
      <c r="AE15" s="34" t="s">
        <v>0</v>
      </c>
      <c r="AF15" s="34" t="s">
        <v>0</v>
      </c>
      <c r="AG15" s="34" t="s">
        <v>0</v>
      </c>
      <c r="AH15" s="34" t="s">
        <v>0</v>
      </c>
      <c r="AI15" s="34" t="s">
        <v>0</v>
      </c>
      <c r="AJ15" s="34" t="s">
        <v>0</v>
      </c>
      <c r="AK15" s="34" t="s">
        <v>0</v>
      </c>
    </row>
    <row r="16" spans="1:37">
      <c r="A16" s="27"/>
      <c r="B16" s="28"/>
      <c r="C16" s="26" t="s">
        <v>45</v>
      </c>
      <c r="D16" s="51">
        <v>0.967319113</v>
      </c>
      <c r="E16" s="51">
        <v>0.7565462941</v>
      </c>
      <c r="F16" s="51">
        <v>0.1099606692</v>
      </c>
      <c r="G16" s="51">
        <v>0.180905664</v>
      </c>
      <c r="H16" s="51">
        <v>0.7577813428</v>
      </c>
      <c r="I16" s="51">
        <v>1</v>
      </c>
      <c r="J16" s="51">
        <v>0.8530607709</v>
      </c>
      <c r="K16" s="51">
        <v>0.05098974553</v>
      </c>
      <c r="L16" s="51">
        <v>0.7541745281</v>
      </c>
      <c r="M16" s="51">
        <v>0.2015753182</v>
      </c>
      <c r="N16" s="51">
        <v>0.3157081393</v>
      </c>
      <c r="O16" s="51">
        <v>0.8053037491</v>
      </c>
      <c r="P16" s="51">
        <v>0.9782196882</v>
      </c>
      <c r="Q16" s="51">
        <v>0.8747685916</v>
      </c>
      <c r="R16" s="51">
        <v>0.743632</v>
      </c>
      <c r="S16" s="51">
        <v>0.495984</v>
      </c>
      <c r="T16" s="51">
        <v>0.974506</v>
      </c>
      <c r="U16" s="51">
        <v>0.937496</v>
      </c>
      <c r="V16" s="51">
        <v>0.941269</v>
      </c>
      <c r="W16" s="52">
        <v>0.877511</v>
      </c>
      <c r="X16" s="51">
        <v>48.0952381</v>
      </c>
      <c r="Y16" s="51">
        <v>7.090909091</v>
      </c>
      <c r="Z16" s="51">
        <v>0.3636363636</v>
      </c>
      <c r="AA16" s="51">
        <v>3.263871807</v>
      </c>
      <c r="AB16" s="51">
        <v>7.14432176656151</v>
      </c>
      <c r="AC16" s="34" t="s">
        <v>0</v>
      </c>
      <c r="AD16" s="34" t="s">
        <v>0</v>
      </c>
      <c r="AE16" s="34" t="s">
        <v>0</v>
      </c>
      <c r="AF16" s="34" t="s">
        <v>0</v>
      </c>
      <c r="AG16" s="34" t="s">
        <v>0</v>
      </c>
      <c r="AH16" s="34" t="s">
        <v>0</v>
      </c>
      <c r="AI16" s="34" t="s">
        <v>0</v>
      </c>
      <c r="AJ16" s="34" t="s">
        <v>0</v>
      </c>
      <c r="AK16" s="34" t="s">
        <v>0</v>
      </c>
    </row>
    <row r="17" spans="1:37">
      <c r="A17" s="27"/>
      <c r="B17" s="30" t="s">
        <v>46</v>
      </c>
      <c r="C17" s="26" t="s">
        <v>47</v>
      </c>
      <c r="D17" s="51">
        <v>0.9999297185</v>
      </c>
      <c r="E17" s="51">
        <v>0.1666666667</v>
      </c>
      <c r="F17" s="51">
        <v>0.0001909290532</v>
      </c>
      <c r="G17" s="51">
        <v>0.0003814116458</v>
      </c>
      <c r="H17" s="51">
        <v>0.1666666667</v>
      </c>
      <c r="I17" s="51">
        <v>0.1818181818</v>
      </c>
      <c r="J17" s="51">
        <v>0.173553719</v>
      </c>
      <c r="K17" s="51">
        <v>0.0002203396069</v>
      </c>
      <c r="L17" s="51">
        <v>0.1666666667</v>
      </c>
      <c r="M17" s="51">
        <v>0.03645184786</v>
      </c>
      <c r="N17" s="51">
        <v>0.05974956748</v>
      </c>
      <c r="O17" s="51">
        <v>0.6297251155</v>
      </c>
      <c r="P17" s="51">
        <v>0.1666668485</v>
      </c>
      <c r="Q17" s="51">
        <v>0.5904806718</v>
      </c>
      <c r="R17" s="51">
        <v>0.73249</v>
      </c>
      <c r="S17" s="51">
        <v>0.525653</v>
      </c>
      <c r="T17" s="51">
        <v>0.981178</v>
      </c>
      <c r="U17" s="51">
        <v>0.927141</v>
      </c>
      <c r="V17" s="51">
        <v>0.958604</v>
      </c>
      <c r="W17" s="52">
        <v>0.872073</v>
      </c>
      <c r="X17" s="51"/>
      <c r="Y17" s="51">
        <v>38.5</v>
      </c>
      <c r="Z17" s="51">
        <v>0</v>
      </c>
      <c r="AA17" s="51">
        <v>0.01012053273</v>
      </c>
      <c r="AB17" s="51">
        <v>332.666666666667</v>
      </c>
      <c r="AC17" s="34" t="s">
        <v>0</v>
      </c>
      <c r="AD17" s="34" t="s">
        <v>0</v>
      </c>
      <c r="AE17" s="34" t="s">
        <v>0</v>
      </c>
      <c r="AF17" s="34" t="s">
        <v>0</v>
      </c>
      <c r="AG17" s="34" t="s">
        <v>0</v>
      </c>
      <c r="AH17" s="34" t="s">
        <v>0</v>
      </c>
      <c r="AI17" s="34" t="s">
        <v>0</v>
      </c>
      <c r="AJ17" s="34" t="s">
        <v>0</v>
      </c>
      <c r="AK17" s="34" t="s">
        <v>0</v>
      </c>
    </row>
    <row r="18" spans="1:37">
      <c r="A18" s="27"/>
      <c r="B18" s="27"/>
      <c r="C18" s="26" t="s">
        <v>48</v>
      </c>
      <c r="D18" s="51">
        <v>0.9992269037</v>
      </c>
      <c r="E18" s="51">
        <v>0.2803030303</v>
      </c>
      <c r="F18" s="51">
        <v>0.0006772146639</v>
      </c>
      <c r="G18" s="51">
        <v>0.001351031848</v>
      </c>
      <c r="H18" s="51">
        <v>0.2803030303</v>
      </c>
      <c r="I18" s="51">
        <v>0.4545454545</v>
      </c>
      <c r="J18" s="51">
        <v>0.3324675325</v>
      </c>
      <c r="K18" s="51">
        <v>0.000810651046</v>
      </c>
      <c r="L18" s="51">
        <v>0.2803030303</v>
      </c>
      <c r="M18" s="51">
        <v>0.09123398196</v>
      </c>
      <c r="N18" s="51">
        <v>0.1327810649</v>
      </c>
      <c r="O18" s="51">
        <v>0.6853120936</v>
      </c>
      <c r="P18" s="51">
        <v>0.356759981</v>
      </c>
      <c r="Q18" s="51">
        <v>0.7145590067</v>
      </c>
      <c r="R18" s="51">
        <v>0.730852</v>
      </c>
      <c r="S18" s="51">
        <v>0.507071</v>
      </c>
      <c r="T18" s="51">
        <v>0.96659</v>
      </c>
      <c r="U18" s="51">
        <v>0.927654</v>
      </c>
      <c r="V18" s="51">
        <v>0.932055</v>
      </c>
      <c r="W18" s="52">
        <v>0.869922</v>
      </c>
      <c r="X18" s="51">
        <v>49</v>
      </c>
      <c r="Y18" s="51">
        <v>44.96666667</v>
      </c>
      <c r="Z18" s="51">
        <v>0.1818181818</v>
      </c>
      <c r="AA18" s="51">
        <v>0.1113258601</v>
      </c>
      <c r="AB18" s="51">
        <v>121.4375</v>
      </c>
      <c r="AC18" s="34" t="s">
        <v>0</v>
      </c>
      <c r="AD18" s="34" t="s">
        <v>0</v>
      </c>
      <c r="AE18" s="34" t="s">
        <v>0</v>
      </c>
      <c r="AF18" s="34" t="s">
        <v>0</v>
      </c>
      <c r="AG18" s="34" t="s">
        <v>0</v>
      </c>
      <c r="AH18" s="34" t="s">
        <v>0</v>
      </c>
      <c r="AI18" s="34" t="s">
        <v>0</v>
      </c>
      <c r="AJ18" s="34" t="s">
        <v>0</v>
      </c>
      <c r="AK18" s="34" t="s">
        <v>0</v>
      </c>
    </row>
    <row r="19" spans="1:37">
      <c r="A19" s="27"/>
      <c r="B19" s="27"/>
      <c r="C19" s="26" t="s">
        <v>49</v>
      </c>
      <c r="D19" s="51">
        <v>0.9997891556</v>
      </c>
      <c r="E19" s="51">
        <v>0.6991341991</v>
      </c>
      <c r="F19" s="51">
        <v>0.0008904329807</v>
      </c>
      <c r="G19" s="51">
        <v>0.001778247275</v>
      </c>
      <c r="H19" s="51">
        <v>0.6991341991</v>
      </c>
      <c r="I19" s="51">
        <v>0.8181818182</v>
      </c>
      <c r="J19" s="51">
        <v>0.7354312354</v>
      </c>
      <c r="K19" s="51">
        <v>0.001306967911</v>
      </c>
      <c r="L19" s="51">
        <v>0.6991341991</v>
      </c>
      <c r="M19" s="51">
        <v>0.1641597844</v>
      </c>
      <c r="N19" s="51">
        <v>0.2606717114</v>
      </c>
      <c r="O19" s="51">
        <v>0.8220682986</v>
      </c>
      <c r="P19" s="51">
        <v>0.6132310823</v>
      </c>
      <c r="Q19" s="51">
        <v>0.7220255089</v>
      </c>
      <c r="R19" s="51">
        <v>0.716853</v>
      </c>
      <c r="S19" s="51">
        <v>0.470906</v>
      </c>
      <c r="T19" s="51">
        <v>0.964534</v>
      </c>
      <c r="U19" s="51">
        <v>0.921897</v>
      </c>
      <c r="V19" s="51">
        <v>0.927703</v>
      </c>
      <c r="W19" s="52">
        <v>0.858317</v>
      </c>
      <c r="X19" s="51">
        <v>42.75</v>
      </c>
      <c r="Y19" s="51">
        <v>61.81481481</v>
      </c>
      <c r="Z19" s="51">
        <v>0.09090909091</v>
      </c>
      <c r="AA19" s="51">
        <v>0.0303615982</v>
      </c>
      <c r="AB19" s="51">
        <v>124.944444444444</v>
      </c>
      <c r="AC19" s="34" t="s">
        <v>0</v>
      </c>
      <c r="AD19" s="34" t="s">
        <v>0</v>
      </c>
      <c r="AE19" s="34" t="s">
        <v>0</v>
      </c>
      <c r="AF19" s="34" t="s">
        <v>0</v>
      </c>
      <c r="AG19" s="34" t="s">
        <v>0</v>
      </c>
      <c r="AH19" s="34" t="s">
        <v>0</v>
      </c>
      <c r="AI19" s="34" t="s">
        <v>0</v>
      </c>
      <c r="AJ19" s="34" t="s">
        <v>0</v>
      </c>
      <c r="AK19" s="34" t="s">
        <v>0</v>
      </c>
    </row>
    <row r="20" spans="1:37">
      <c r="A20" s="27"/>
      <c r="B20" s="27"/>
      <c r="C20" s="26" t="s">
        <v>50</v>
      </c>
      <c r="D20" s="51">
        <v>0.9190972344</v>
      </c>
      <c r="E20" s="51">
        <v>0.6785280611</v>
      </c>
      <c r="F20" s="51">
        <v>0.05739706943</v>
      </c>
      <c r="G20" s="51">
        <v>0.09384729655</v>
      </c>
      <c r="H20" s="51">
        <v>0.6835164401</v>
      </c>
      <c r="I20" s="51">
        <v>0.9659090909</v>
      </c>
      <c r="J20" s="51">
        <v>0.7864333908</v>
      </c>
      <c r="K20" s="51">
        <v>0.04143689992</v>
      </c>
      <c r="L20" s="51">
        <v>0.678889074</v>
      </c>
      <c r="M20" s="51">
        <v>0.1961265734</v>
      </c>
      <c r="N20" s="51">
        <v>0.3000141949</v>
      </c>
      <c r="O20" s="51">
        <v>0.7395229568</v>
      </c>
      <c r="P20" s="51">
        <v>0.9286859601</v>
      </c>
      <c r="Q20" s="51">
        <v>0.8077705027</v>
      </c>
      <c r="R20" s="51">
        <v>0.735251</v>
      </c>
      <c r="S20" s="51">
        <v>0.478724</v>
      </c>
      <c r="T20" s="51">
        <v>0.959399</v>
      </c>
      <c r="U20" s="51">
        <v>0.915657</v>
      </c>
      <c r="V20" s="51">
        <v>0.92398</v>
      </c>
      <c r="W20" s="52">
        <v>0.849846</v>
      </c>
      <c r="X20" s="51">
        <v>46.01743197</v>
      </c>
      <c r="Y20" s="51">
        <v>15.72348485</v>
      </c>
      <c r="Z20" s="51">
        <v>0.2045454545</v>
      </c>
      <c r="AA20" s="51">
        <v>1.697086833</v>
      </c>
      <c r="AB20" s="51">
        <v>23.5865491965335</v>
      </c>
      <c r="AC20" s="34" t="s">
        <v>0</v>
      </c>
      <c r="AD20" s="34" t="s">
        <v>0</v>
      </c>
      <c r="AE20" s="34" t="s">
        <v>0</v>
      </c>
      <c r="AF20" s="34" t="s">
        <v>0</v>
      </c>
      <c r="AG20" s="34" t="s">
        <v>0</v>
      </c>
      <c r="AH20" s="34" t="s">
        <v>0</v>
      </c>
      <c r="AI20" s="34" t="s">
        <v>0</v>
      </c>
      <c r="AJ20" s="34" t="s">
        <v>0</v>
      </c>
      <c r="AK20" s="34" t="s">
        <v>0</v>
      </c>
    </row>
    <row r="21" spans="1:37">
      <c r="A21" s="27"/>
      <c r="B21" s="27"/>
      <c r="C21" s="26" t="s">
        <v>51</v>
      </c>
      <c r="D21" s="51">
        <v>0.9292924412</v>
      </c>
      <c r="E21" s="51">
        <v>0.7366392152</v>
      </c>
      <c r="F21" s="51">
        <v>0.07348275188</v>
      </c>
      <c r="G21" s="51">
        <v>0.1200707091</v>
      </c>
      <c r="H21" s="51">
        <v>0.7422584165</v>
      </c>
      <c r="I21" s="51">
        <v>1</v>
      </c>
      <c r="J21" s="51">
        <v>0.8390987626</v>
      </c>
      <c r="K21" s="51">
        <v>0.01303086014</v>
      </c>
      <c r="L21" s="51">
        <v>0.7402211162</v>
      </c>
      <c r="M21" s="51">
        <v>0.2011537519</v>
      </c>
      <c r="N21" s="51">
        <v>0.312668267</v>
      </c>
      <c r="O21" s="51">
        <v>0.7921899101</v>
      </c>
      <c r="P21" s="51">
        <v>0.9127190892</v>
      </c>
      <c r="Q21" s="51">
        <v>0.8341770387</v>
      </c>
      <c r="R21" s="51">
        <v>0.732501</v>
      </c>
      <c r="S21" s="51">
        <v>0.538647</v>
      </c>
      <c r="T21" s="51">
        <v>0.967142</v>
      </c>
      <c r="U21" s="51">
        <v>0.929098</v>
      </c>
      <c r="V21" s="51">
        <v>0.932943</v>
      </c>
      <c r="W21" s="52">
        <v>0.874727</v>
      </c>
      <c r="X21" s="51">
        <v>42.14696712</v>
      </c>
      <c r="Y21" s="51">
        <v>29.15151515</v>
      </c>
      <c r="Z21" s="51">
        <v>0.1931818182</v>
      </c>
      <c r="AA21" s="51">
        <v>4.428998138</v>
      </c>
      <c r="AB21" s="51">
        <v>24.0543292331649</v>
      </c>
      <c r="AC21" s="34" t="s">
        <v>0</v>
      </c>
      <c r="AD21" s="34" t="s">
        <v>0</v>
      </c>
      <c r="AE21" s="34" t="s">
        <v>0</v>
      </c>
      <c r="AF21" s="34" t="s">
        <v>0</v>
      </c>
      <c r="AG21" s="34" t="s">
        <v>0</v>
      </c>
      <c r="AH21" s="34" t="s">
        <v>0</v>
      </c>
      <c r="AI21" s="34" t="s">
        <v>0</v>
      </c>
      <c r="AJ21" s="34" t="s">
        <v>0</v>
      </c>
      <c r="AK21" s="34" t="s">
        <v>0</v>
      </c>
    </row>
    <row r="22" spans="1:37">
      <c r="A22" s="27"/>
      <c r="B22" s="27"/>
      <c r="C22" s="26" t="s">
        <v>52</v>
      </c>
      <c r="D22" s="51">
        <v>0.9198659381</v>
      </c>
      <c r="E22" s="51">
        <v>0.7303456886</v>
      </c>
      <c r="F22" s="51">
        <v>0.08007338232</v>
      </c>
      <c r="G22" s="51">
        <v>0.1297123119</v>
      </c>
      <c r="H22" s="51">
        <v>0.7374237209</v>
      </c>
      <c r="I22" s="51">
        <v>0.9659090909</v>
      </c>
      <c r="J22" s="51">
        <v>0.8269964497</v>
      </c>
      <c r="K22" s="51">
        <v>0.01361586664</v>
      </c>
      <c r="L22" s="51">
        <v>0.737102831</v>
      </c>
      <c r="M22" s="51">
        <v>0.1948090428</v>
      </c>
      <c r="N22" s="51">
        <v>0.3056406964</v>
      </c>
      <c r="O22" s="51">
        <v>0.7932306769</v>
      </c>
      <c r="P22" s="51">
        <v>0.9099544884</v>
      </c>
      <c r="Q22" s="51">
        <v>0.8455875608</v>
      </c>
      <c r="R22" s="51">
        <v>0.731913</v>
      </c>
      <c r="S22" s="51">
        <v>0.509923</v>
      </c>
      <c r="T22" s="51">
        <v>0.970317</v>
      </c>
      <c r="U22" s="51">
        <v>0.931722</v>
      </c>
      <c r="V22" s="51">
        <v>0.931636</v>
      </c>
      <c r="W22" s="52">
        <v>0.868335</v>
      </c>
      <c r="X22" s="51">
        <v>50.94430272</v>
      </c>
      <c r="Y22" s="51">
        <v>14.92640693</v>
      </c>
      <c r="Z22" s="51">
        <v>0.4204545455</v>
      </c>
      <c r="AA22" s="51">
        <v>4.411287205</v>
      </c>
      <c r="AB22" s="51">
        <v>19.3959966074664</v>
      </c>
      <c r="AC22" s="34" t="s">
        <v>0</v>
      </c>
      <c r="AD22" s="34" t="s">
        <v>0</v>
      </c>
      <c r="AE22" s="34" t="s">
        <v>0</v>
      </c>
      <c r="AF22" s="34" t="s">
        <v>0</v>
      </c>
      <c r="AG22" s="34" t="s">
        <v>0</v>
      </c>
      <c r="AH22" s="34" t="s">
        <v>0</v>
      </c>
      <c r="AI22" s="34" t="s">
        <v>0</v>
      </c>
      <c r="AJ22" s="34" t="s">
        <v>0</v>
      </c>
      <c r="AK22" s="34" t="s">
        <v>0</v>
      </c>
    </row>
    <row r="23" spans="1:37">
      <c r="A23" s="27"/>
      <c r="B23" s="27"/>
      <c r="C23" s="26" t="s">
        <v>53</v>
      </c>
      <c r="D23" s="53">
        <v>0.9277594265</v>
      </c>
      <c r="E23" s="53">
        <v>0.7257306892</v>
      </c>
      <c r="F23" s="53">
        <v>0.08285102926</v>
      </c>
      <c r="G23" s="53">
        <v>0.1314721582</v>
      </c>
      <c r="H23" s="53">
        <v>0.729615549</v>
      </c>
      <c r="I23" s="53">
        <v>0.9659090909</v>
      </c>
      <c r="J23" s="53">
        <v>0.8178598992</v>
      </c>
      <c r="K23" s="53">
        <v>0.02575285234</v>
      </c>
      <c r="L23" s="53">
        <v>0.7236031539</v>
      </c>
      <c r="M23" s="53">
        <v>0.1946760169</v>
      </c>
      <c r="N23" s="53">
        <v>0.3028468138</v>
      </c>
      <c r="O23" s="53">
        <v>0.802428065</v>
      </c>
      <c r="P23" s="53">
        <v>0.8909537062</v>
      </c>
      <c r="Q23" s="53">
        <v>0.8472784331</v>
      </c>
      <c r="R23" s="53">
        <v>0.721815</v>
      </c>
      <c r="S23" s="53">
        <v>0.497563</v>
      </c>
      <c r="T23" s="53">
        <v>0.968039</v>
      </c>
      <c r="U23" s="53">
        <v>0.927457</v>
      </c>
      <c r="V23" s="53">
        <v>0.93087</v>
      </c>
      <c r="W23" s="54">
        <v>0.864173</v>
      </c>
      <c r="X23" s="53">
        <v>45.34024943</v>
      </c>
      <c r="Y23" s="53">
        <v>33.42261905</v>
      </c>
      <c r="Z23" s="53">
        <v>0.2159090909</v>
      </c>
      <c r="AA23" s="53">
        <v>3.804687775</v>
      </c>
      <c r="AB23" s="53">
        <v>33.5654630012135</v>
      </c>
      <c r="AC23" s="34" t="s">
        <v>0</v>
      </c>
      <c r="AD23" s="34" t="s">
        <v>0</v>
      </c>
      <c r="AE23" s="34" t="s">
        <v>0</v>
      </c>
      <c r="AF23" s="34" t="s">
        <v>0</v>
      </c>
      <c r="AG23" s="34" t="s">
        <v>0</v>
      </c>
      <c r="AH23" s="34" t="s">
        <v>0</v>
      </c>
      <c r="AI23" s="34" t="s">
        <v>0</v>
      </c>
      <c r="AJ23" s="34" t="s">
        <v>0</v>
      </c>
      <c r="AK23" s="34" t="s">
        <v>0</v>
      </c>
    </row>
    <row r="24" spans="1:37">
      <c r="A24" s="27"/>
      <c r="B24" s="27"/>
      <c r="C24" s="26" t="s">
        <v>54</v>
      </c>
      <c r="D24" s="55">
        <v>0.999332326</v>
      </c>
      <c r="E24" s="55">
        <v>0.7272727273</v>
      </c>
      <c r="F24" s="55">
        <v>0.001276649845</v>
      </c>
      <c r="G24" s="55">
        <v>0.002548541914</v>
      </c>
      <c r="H24" s="55">
        <v>0.7272727273</v>
      </c>
      <c r="I24" s="55">
        <v>1</v>
      </c>
      <c r="J24" s="55">
        <v>0.8190082645</v>
      </c>
      <c r="K24" s="55">
        <v>0.001667174602</v>
      </c>
      <c r="L24" s="55">
        <v>0.7272727273</v>
      </c>
      <c r="M24" s="55">
        <v>0.2006678648</v>
      </c>
      <c r="N24" s="55">
        <v>0.3079174553</v>
      </c>
      <c r="O24" s="55">
        <v>0.7681043933</v>
      </c>
      <c r="P24" s="55">
        <v>0.7311128318</v>
      </c>
      <c r="Q24" s="55">
        <v>0.7277401537</v>
      </c>
      <c r="R24" s="55">
        <v>0.729234</v>
      </c>
      <c r="S24" s="55">
        <v>0.5095</v>
      </c>
      <c r="T24" s="55">
        <v>0.970991</v>
      </c>
      <c r="U24" s="55">
        <v>0.934509</v>
      </c>
      <c r="V24" s="55">
        <v>0.934776</v>
      </c>
      <c r="W24" s="55">
        <v>0.874112</v>
      </c>
      <c r="X24" s="55">
        <v>34.58333333</v>
      </c>
      <c r="Y24" s="55">
        <v>78.66666667</v>
      </c>
      <c r="Z24" s="55">
        <v>0.1818181818</v>
      </c>
      <c r="AA24" s="55">
        <v>0.09614506097</v>
      </c>
      <c r="AB24" s="55">
        <v>181.074074074074</v>
      </c>
      <c r="AC24" s="34" t="s">
        <v>0</v>
      </c>
      <c r="AD24" s="34" t="s">
        <v>0</v>
      </c>
      <c r="AE24" s="34" t="s">
        <v>0</v>
      </c>
      <c r="AF24" s="34" t="s">
        <v>0</v>
      </c>
      <c r="AG24" s="34" t="s">
        <v>0</v>
      </c>
      <c r="AH24" s="34" t="s">
        <v>0</v>
      </c>
      <c r="AI24" s="34" t="s">
        <v>0</v>
      </c>
      <c r="AJ24" s="34" t="s">
        <v>0</v>
      </c>
      <c r="AK24" s="34" t="s">
        <v>0</v>
      </c>
    </row>
    <row r="25" spans="1:37">
      <c r="A25" s="27"/>
      <c r="B25" s="27"/>
      <c r="C25" s="26" t="s">
        <v>55</v>
      </c>
      <c r="D25" s="56">
        <v>0.9284446709</v>
      </c>
      <c r="E25" s="56">
        <v>0.7572035242</v>
      </c>
      <c r="F25" s="56">
        <v>0.1015845829</v>
      </c>
      <c r="G25" s="56">
        <v>0.1593325349</v>
      </c>
      <c r="H25" s="56">
        <v>0.7547477509</v>
      </c>
      <c r="I25" s="56">
        <v>0.9886363636</v>
      </c>
      <c r="J25" s="56">
        <v>0.8442330438</v>
      </c>
      <c r="K25" s="56">
        <v>0.03236758049</v>
      </c>
      <c r="L25" s="56">
        <v>0.7517941995</v>
      </c>
      <c r="M25" s="56">
        <v>0.1993112317</v>
      </c>
      <c r="N25" s="56">
        <v>0.3117153879</v>
      </c>
      <c r="O25" s="56">
        <v>0.8132795716</v>
      </c>
      <c r="P25" s="56">
        <v>0.9184390759</v>
      </c>
      <c r="Q25" s="56">
        <v>0.8569005404</v>
      </c>
      <c r="R25" s="56">
        <v>0.735369</v>
      </c>
      <c r="S25" s="56">
        <v>0.506138</v>
      </c>
      <c r="T25" s="56">
        <v>0.970429</v>
      </c>
      <c r="U25" s="56">
        <v>0.930889</v>
      </c>
      <c r="V25" s="56">
        <v>0.936533</v>
      </c>
      <c r="W25" s="57">
        <v>0.872654</v>
      </c>
      <c r="X25" s="56">
        <v>47.59960317</v>
      </c>
      <c r="Y25" s="56">
        <v>23.76028139</v>
      </c>
      <c r="Z25" s="56">
        <v>0.3068181818</v>
      </c>
      <c r="AA25" s="56">
        <v>4.542854131</v>
      </c>
      <c r="AB25" s="56">
        <v>39.4380043931636</v>
      </c>
      <c r="AC25" s="34" t="s">
        <v>0</v>
      </c>
      <c r="AD25" s="34" t="s">
        <v>0</v>
      </c>
      <c r="AE25" s="34" t="s">
        <v>0</v>
      </c>
      <c r="AF25" s="34" t="s">
        <v>0</v>
      </c>
      <c r="AG25" s="34" t="s">
        <v>0</v>
      </c>
      <c r="AH25" s="34" t="s">
        <v>0</v>
      </c>
      <c r="AI25" s="34" t="s">
        <v>0</v>
      </c>
      <c r="AJ25" s="34" t="s">
        <v>0</v>
      </c>
      <c r="AK25" s="34" t="s">
        <v>0</v>
      </c>
    </row>
    <row r="26" spans="1:37">
      <c r="A26" s="27"/>
      <c r="B26" s="27"/>
      <c r="C26" s="26" t="s">
        <v>56</v>
      </c>
      <c r="D26" s="51">
        <v>0.9811645641</v>
      </c>
      <c r="E26" s="51">
        <v>0.6890189165</v>
      </c>
      <c r="F26" s="51">
        <v>0.06281117484</v>
      </c>
      <c r="G26" s="51">
        <v>0.09977567256</v>
      </c>
      <c r="H26" s="51">
        <v>0.6793159318</v>
      </c>
      <c r="I26" s="51">
        <v>0.875</v>
      </c>
      <c r="J26" s="51">
        <v>0.7439187645</v>
      </c>
      <c r="K26" s="51">
        <v>0.05127735304</v>
      </c>
      <c r="L26" s="51">
        <v>0.6757622758</v>
      </c>
      <c r="M26" s="51">
        <v>0.177266326</v>
      </c>
      <c r="N26" s="51">
        <v>0.2736440386</v>
      </c>
      <c r="O26" s="51">
        <v>0.8297719686</v>
      </c>
      <c r="P26" s="51">
        <v>0.7605436444</v>
      </c>
      <c r="Q26" s="51">
        <v>0.8184695054</v>
      </c>
      <c r="R26" s="51">
        <v>0.71494</v>
      </c>
      <c r="S26" s="51">
        <v>0.456488</v>
      </c>
      <c r="T26" s="51">
        <v>0.964607</v>
      </c>
      <c r="U26" s="51">
        <v>0.921689</v>
      </c>
      <c r="V26" s="51">
        <v>0.927386</v>
      </c>
      <c r="W26" s="52">
        <v>0.855146</v>
      </c>
      <c r="X26" s="51">
        <v>33.57619048</v>
      </c>
      <c r="Y26" s="51">
        <v>47.32077922</v>
      </c>
      <c r="Z26" s="51">
        <v>0.09090909091</v>
      </c>
      <c r="AA26" s="51">
        <v>1.183469797</v>
      </c>
      <c r="AB26" s="51">
        <v>40.5913189526997</v>
      </c>
      <c r="AC26" s="34" t="s">
        <v>0</v>
      </c>
      <c r="AD26" s="34" t="s">
        <v>0</v>
      </c>
      <c r="AE26" s="34" t="s">
        <v>0</v>
      </c>
      <c r="AF26" s="34" t="s">
        <v>0</v>
      </c>
      <c r="AG26" s="34" t="s">
        <v>0</v>
      </c>
      <c r="AH26" s="34" t="s">
        <v>0</v>
      </c>
      <c r="AI26" s="34" t="s">
        <v>0</v>
      </c>
      <c r="AJ26" s="34" t="s">
        <v>0</v>
      </c>
      <c r="AK26" s="34" t="s">
        <v>0</v>
      </c>
    </row>
    <row r="27" spans="1:37">
      <c r="A27" s="27"/>
      <c r="B27" s="27"/>
      <c r="C27" s="26" t="s">
        <v>57</v>
      </c>
      <c r="D27" s="51">
        <v>0.9939909337</v>
      </c>
      <c r="E27" s="51">
        <v>0.6617710795</v>
      </c>
      <c r="F27" s="51">
        <v>0.01009610359</v>
      </c>
      <c r="G27" s="51">
        <v>0.01982175154</v>
      </c>
      <c r="H27" s="51">
        <v>0.6697739483</v>
      </c>
      <c r="I27" s="51">
        <v>1</v>
      </c>
      <c r="J27" s="51">
        <v>0.7796625508</v>
      </c>
      <c r="K27" s="51">
        <v>0.003826905967</v>
      </c>
      <c r="L27" s="51">
        <v>0.6688399508</v>
      </c>
      <c r="M27" s="51">
        <v>0.2008582367</v>
      </c>
      <c r="N27" s="51">
        <v>0.3009201315</v>
      </c>
      <c r="O27" s="51">
        <v>0.7358438157</v>
      </c>
      <c r="P27" s="51">
        <v>0.882069955</v>
      </c>
      <c r="Q27" s="51">
        <v>0.7953659104</v>
      </c>
      <c r="R27" s="51">
        <v>0.734218</v>
      </c>
      <c r="S27" s="51">
        <v>0.535467</v>
      </c>
      <c r="T27" s="51">
        <v>0.970104</v>
      </c>
      <c r="U27" s="51">
        <v>0.936513</v>
      </c>
      <c r="V27" s="51">
        <v>0.939094</v>
      </c>
      <c r="W27" s="52">
        <v>0.888122</v>
      </c>
      <c r="X27" s="51">
        <v>28.03333333</v>
      </c>
      <c r="Y27" s="51">
        <v>46.71212121</v>
      </c>
      <c r="Z27" s="51">
        <v>0.09090909091</v>
      </c>
      <c r="AA27" s="51">
        <v>0.8147028851</v>
      </c>
      <c r="AB27" s="51">
        <v>21.6577777777778</v>
      </c>
      <c r="AC27" s="34" t="s">
        <v>0</v>
      </c>
      <c r="AD27" s="34" t="s">
        <v>0</v>
      </c>
      <c r="AE27" s="34" t="s">
        <v>0</v>
      </c>
      <c r="AF27" s="34" t="s">
        <v>0</v>
      </c>
      <c r="AG27" s="34" t="s">
        <v>0</v>
      </c>
      <c r="AH27" s="34" t="s">
        <v>0</v>
      </c>
      <c r="AI27" s="34" t="s">
        <v>0</v>
      </c>
      <c r="AJ27" s="34" t="s">
        <v>0</v>
      </c>
      <c r="AK27" s="34" t="s">
        <v>0</v>
      </c>
    </row>
    <row r="28" spans="1:37">
      <c r="A28" s="27"/>
      <c r="B28" s="27"/>
      <c r="C28" s="26" t="s">
        <v>58</v>
      </c>
      <c r="D28" s="51">
        <v>0.9118538497</v>
      </c>
      <c r="E28" s="51">
        <v>0.6728192088</v>
      </c>
      <c r="F28" s="51">
        <v>0.09506723272</v>
      </c>
      <c r="G28" s="51">
        <v>0.1512129219</v>
      </c>
      <c r="H28" s="51">
        <v>0.67319616</v>
      </c>
      <c r="I28" s="51">
        <v>0.9090909091</v>
      </c>
      <c r="J28" s="51">
        <v>0.7603776483</v>
      </c>
      <c r="K28" s="51">
        <v>0.04463837267</v>
      </c>
      <c r="L28" s="51">
        <v>0.6707776511</v>
      </c>
      <c r="M28" s="51">
        <v>0.1851002668</v>
      </c>
      <c r="N28" s="51">
        <v>0.2860239923</v>
      </c>
      <c r="O28" s="51">
        <v>0.786232383</v>
      </c>
      <c r="P28" s="51">
        <v>0.823349335</v>
      </c>
      <c r="Q28" s="51">
        <v>0.8128278658</v>
      </c>
      <c r="R28" s="51">
        <v>0.724496</v>
      </c>
      <c r="S28" s="51">
        <v>0.481665</v>
      </c>
      <c r="T28" s="51">
        <v>0.967702</v>
      </c>
      <c r="U28" s="51">
        <v>0.927653</v>
      </c>
      <c r="V28" s="51">
        <v>0.934372</v>
      </c>
      <c r="W28" s="52">
        <v>0.870323</v>
      </c>
      <c r="X28" s="51">
        <v>36.41369048</v>
      </c>
      <c r="Y28" s="51">
        <v>62.6162518</v>
      </c>
      <c r="Z28" s="51">
        <v>0.1477272727</v>
      </c>
      <c r="AA28" s="51">
        <v>2.373897459</v>
      </c>
      <c r="AB28" s="51">
        <v>19.5267635012653</v>
      </c>
      <c r="AC28" s="34" t="s">
        <v>0</v>
      </c>
      <c r="AD28" s="34" t="s">
        <v>0</v>
      </c>
      <c r="AE28" s="34" t="s">
        <v>0</v>
      </c>
      <c r="AF28" s="34" t="s">
        <v>0</v>
      </c>
      <c r="AG28" s="34" t="s">
        <v>0</v>
      </c>
      <c r="AH28" s="34" t="s">
        <v>0</v>
      </c>
      <c r="AI28" s="34" t="s">
        <v>0</v>
      </c>
      <c r="AJ28" s="34" t="s">
        <v>0</v>
      </c>
      <c r="AK28" s="34" t="s">
        <v>0</v>
      </c>
    </row>
    <row r="29" spans="1:37">
      <c r="A29" s="27"/>
      <c r="B29" s="27"/>
      <c r="C29" s="26" t="s">
        <v>59</v>
      </c>
      <c r="D29" s="51">
        <v>0.9269336191</v>
      </c>
      <c r="E29" s="51">
        <v>0.5184634865</v>
      </c>
      <c r="F29" s="51">
        <v>0.1576692857</v>
      </c>
      <c r="G29" s="51">
        <v>0.2175801149</v>
      </c>
      <c r="H29" s="51">
        <v>0.5977294636</v>
      </c>
      <c r="I29" s="51">
        <v>0.7045454545</v>
      </c>
      <c r="J29" s="51">
        <v>0.6401192371</v>
      </c>
      <c r="K29" s="51">
        <v>0.1247357929</v>
      </c>
      <c r="L29" s="51">
        <v>0.5332402422</v>
      </c>
      <c r="M29" s="51">
        <v>0.164144407</v>
      </c>
      <c r="N29" s="51">
        <v>0.2431681066</v>
      </c>
      <c r="O29" s="51">
        <v>0.7655653001</v>
      </c>
      <c r="P29" s="51">
        <v>0.596016776</v>
      </c>
      <c r="Q29" s="51">
        <v>0.7609206667</v>
      </c>
      <c r="R29" s="51">
        <v>0.728466</v>
      </c>
      <c r="S29" s="51">
        <v>0.423954</v>
      </c>
      <c r="T29" s="51">
        <v>0.974154</v>
      </c>
      <c r="U29" s="51">
        <v>0.928296</v>
      </c>
      <c r="V29" s="51">
        <v>0.939526</v>
      </c>
      <c r="W29" s="52">
        <v>0.857892</v>
      </c>
      <c r="X29" s="51">
        <v>29.7037037</v>
      </c>
      <c r="Y29" s="51">
        <v>79.61219336</v>
      </c>
      <c r="Z29" s="51">
        <v>0.07954545455</v>
      </c>
      <c r="AA29" s="51">
        <v>0.2599711846</v>
      </c>
      <c r="AB29" s="51">
        <v>41.5871076409358</v>
      </c>
      <c r="AC29" s="34" t="s">
        <v>0</v>
      </c>
      <c r="AD29" s="34" t="s">
        <v>0</v>
      </c>
      <c r="AE29" s="34" t="s">
        <v>0</v>
      </c>
      <c r="AF29" s="34" t="s">
        <v>0</v>
      </c>
      <c r="AG29" s="34" t="s">
        <v>0</v>
      </c>
      <c r="AH29" s="34" t="s">
        <v>0</v>
      </c>
      <c r="AI29" s="34" t="s">
        <v>0</v>
      </c>
      <c r="AJ29" s="34" t="s">
        <v>0</v>
      </c>
      <c r="AK29" s="34" t="s">
        <v>0</v>
      </c>
    </row>
    <row r="30" spans="1:37">
      <c r="A30" s="27"/>
      <c r="B30" s="27"/>
      <c r="C30" s="26" t="s">
        <v>60</v>
      </c>
      <c r="D30" s="51">
        <v>0.9277901746</v>
      </c>
      <c r="E30" s="51">
        <v>0.7208720686</v>
      </c>
      <c r="F30" s="51">
        <v>0.09186084487</v>
      </c>
      <c r="G30" s="51">
        <v>0.1443249076</v>
      </c>
      <c r="H30" s="51">
        <v>0.7291221211</v>
      </c>
      <c r="I30" s="51">
        <v>0.9545454545</v>
      </c>
      <c r="J30" s="51">
        <v>0.8115805621</v>
      </c>
      <c r="K30" s="51">
        <v>0.03095931312</v>
      </c>
      <c r="L30" s="51">
        <v>0.7249897807</v>
      </c>
      <c r="M30" s="51">
        <v>0.1921310162</v>
      </c>
      <c r="N30" s="51">
        <v>0.2989441044</v>
      </c>
      <c r="O30" s="51">
        <v>0.8012111997</v>
      </c>
      <c r="P30" s="51">
        <v>0.8929879116</v>
      </c>
      <c r="Q30" s="51">
        <v>0.8437452742</v>
      </c>
      <c r="R30" s="51">
        <v>0.744009</v>
      </c>
      <c r="S30" s="51">
        <v>0.542025</v>
      </c>
      <c r="T30" s="51">
        <v>0.970355</v>
      </c>
      <c r="U30" s="51">
        <v>0.936583</v>
      </c>
      <c r="V30" s="51">
        <v>0.940062</v>
      </c>
      <c r="W30" s="52">
        <v>0.887873</v>
      </c>
      <c r="X30" s="51">
        <v>32.74659864</v>
      </c>
      <c r="Y30" s="51">
        <v>31.63338745</v>
      </c>
      <c r="Z30" s="51">
        <v>0.1590909091</v>
      </c>
      <c r="AA30" s="51">
        <v>4.785114383</v>
      </c>
      <c r="AB30" s="51">
        <v>23.1233370467791</v>
      </c>
      <c r="AC30" s="34" t="s">
        <v>0</v>
      </c>
      <c r="AD30" s="34" t="s">
        <v>0</v>
      </c>
      <c r="AE30" s="34" t="s">
        <v>0</v>
      </c>
      <c r="AF30" s="34" t="s">
        <v>0</v>
      </c>
      <c r="AG30" s="34" t="s">
        <v>0</v>
      </c>
      <c r="AH30" s="34" t="s">
        <v>0</v>
      </c>
      <c r="AI30" s="34" t="s">
        <v>0</v>
      </c>
      <c r="AJ30" s="34" t="s">
        <v>0</v>
      </c>
      <c r="AK30" s="34" t="s">
        <v>0</v>
      </c>
    </row>
    <row r="31" spans="1:37">
      <c r="A31" s="27"/>
      <c r="B31" s="27"/>
      <c r="C31" s="26" t="s">
        <v>61</v>
      </c>
      <c r="D31" s="51">
        <v>0.9484397512</v>
      </c>
      <c r="E31" s="51">
        <v>0.4677429035</v>
      </c>
      <c r="F31" s="51">
        <v>0.1246734341</v>
      </c>
      <c r="G31" s="51">
        <v>0.1797820186</v>
      </c>
      <c r="H31" s="51">
        <v>0.5293560606</v>
      </c>
      <c r="I31" s="51">
        <v>0.5909090909</v>
      </c>
      <c r="J31" s="51">
        <v>0.5508116883</v>
      </c>
      <c r="K31" s="51">
        <v>0.1433334303</v>
      </c>
      <c r="L31" s="51">
        <v>0.4870152597</v>
      </c>
      <c r="M31" s="51">
        <v>0.1634359201</v>
      </c>
      <c r="N31" s="51">
        <v>0.239565273</v>
      </c>
      <c r="O31" s="51">
        <v>0.826153742</v>
      </c>
      <c r="P31" s="51">
        <v>0.4479297903</v>
      </c>
      <c r="Q31" s="51">
        <v>0.7532277793</v>
      </c>
      <c r="R31" s="51">
        <v>0.729048</v>
      </c>
      <c r="S31" s="51">
        <v>0.381803</v>
      </c>
      <c r="T31" s="51">
        <v>0.968396</v>
      </c>
      <c r="U31" s="51">
        <v>0.917688</v>
      </c>
      <c r="V31" s="51">
        <v>0.930954</v>
      </c>
      <c r="W31" s="52">
        <v>0.839004</v>
      </c>
      <c r="X31" s="51">
        <v>23.6125</v>
      </c>
      <c r="Y31" s="51">
        <v>105.2525613</v>
      </c>
      <c r="Z31" s="51">
        <v>0.03409090909</v>
      </c>
      <c r="AA31" s="51">
        <v>0.08349439505</v>
      </c>
      <c r="AB31" s="51">
        <v>71.7582183441558</v>
      </c>
      <c r="AC31" s="34" t="s">
        <v>0</v>
      </c>
      <c r="AD31" s="34" t="s">
        <v>0</v>
      </c>
      <c r="AE31" s="34" t="s">
        <v>0</v>
      </c>
      <c r="AF31" s="34" t="s">
        <v>0</v>
      </c>
      <c r="AG31" s="34" t="s">
        <v>0</v>
      </c>
      <c r="AH31" s="34" t="s">
        <v>0</v>
      </c>
      <c r="AI31" s="34" t="s">
        <v>0</v>
      </c>
      <c r="AJ31" s="34" t="s">
        <v>0</v>
      </c>
      <c r="AK31" s="34" t="s">
        <v>0</v>
      </c>
    </row>
    <row r="32" spans="1:37">
      <c r="A32" s="27"/>
      <c r="B32" s="27"/>
      <c r="C32" s="26" t="s">
        <v>62</v>
      </c>
      <c r="D32" s="51">
        <v>0.9258003303</v>
      </c>
      <c r="E32" s="51">
        <v>0.5775847125</v>
      </c>
      <c r="F32" s="51">
        <v>0.1019853134</v>
      </c>
      <c r="G32" s="51">
        <v>0.1500975061</v>
      </c>
      <c r="H32" s="51">
        <v>0.6136658859</v>
      </c>
      <c r="I32" s="51">
        <v>0.7954545455</v>
      </c>
      <c r="J32" s="51">
        <v>0.6739252858</v>
      </c>
      <c r="K32" s="51">
        <v>0.0825791738</v>
      </c>
      <c r="L32" s="51">
        <v>0.5782990901</v>
      </c>
      <c r="M32" s="51">
        <v>0.1725335672</v>
      </c>
      <c r="N32" s="51">
        <v>0.2562825914</v>
      </c>
      <c r="O32" s="51">
        <v>0.7214314764</v>
      </c>
      <c r="P32" s="51">
        <v>0.6343054461</v>
      </c>
      <c r="Q32" s="51">
        <v>0.6886572036</v>
      </c>
      <c r="R32" s="51">
        <v>0.703389</v>
      </c>
      <c r="S32" s="51">
        <v>0.405341</v>
      </c>
      <c r="T32" s="51">
        <v>0.961671</v>
      </c>
      <c r="U32" s="51">
        <v>0.91879</v>
      </c>
      <c r="V32" s="51">
        <v>0.926425</v>
      </c>
      <c r="W32" s="52">
        <v>0.84978</v>
      </c>
      <c r="X32" s="51">
        <v>33.46990741</v>
      </c>
      <c r="Y32" s="51">
        <v>108.6025253</v>
      </c>
      <c r="Z32" s="51">
        <v>0.04545454545</v>
      </c>
      <c r="AA32" s="51">
        <v>0.6679551604</v>
      </c>
      <c r="AB32" s="51">
        <v>21.5375875027746</v>
      </c>
      <c r="AC32" s="34" t="s">
        <v>0</v>
      </c>
      <c r="AD32" s="34" t="s">
        <v>0</v>
      </c>
      <c r="AE32" s="34" t="s">
        <v>0</v>
      </c>
      <c r="AF32" s="34" t="s">
        <v>0</v>
      </c>
      <c r="AG32" s="34" t="s">
        <v>0</v>
      </c>
      <c r="AH32" s="34" t="s">
        <v>0</v>
      </c>
      <c r="AI32" s="34" t="s">
        <v>0</v>
      </c>
      <c r="AJ32" s="34" t="s">
        <v>0</v>
      </c>
      <c r="AK32" s="34" t="s">
        <v>0</v>
      </c>
    </row>
    <row r="33" spans="1:37">
      <c r="A33" s="27"/>
      <c r="B33" s="27"/>
      <c r="C33" s="26" t="s">
        <v>63</v>
      </c>
      <c r="D33" s="51">
        <v>0.945909618</v>
      </c>
      <c r="E33" s="51">
        <v>0.4791732691</v>
      </c>
      <c r="F33" s="51">
        <v>0.1213759379</v>
      </c>
      <c r="G33" s="51">
        <v>0.1708935697</v>
      </c>
      <c r="H33" s="51">
        <v>0.5261381452</v>
      </c>
      <c r="I33" s="51">
        <v>0.6363636364</v>
      </c>
      <c r="J33" s="51">
        <v>0.5687130022</v>
      </c>
      <c r="K33" s="51">
        <v>0.09223389167</v>
      </c>
      <c r="L33" s="51">
        <v>0.5143890248</v>
      </c>
      <c r="M33" s="51">
        <v>0.1390681115</v>
      </c>
      <c r="N33" s="51">
        <v>0.2166703666</v>
      </c>
      <c r="O33" s="51">
        <v>0.6923479325</v>
      </c>
      <c r="P33" s="51">
        <v>0.5648223434</v>
      </c>
      <c r="Q33" s="51">
        <v>0.6960921536</v>
      </c>
      <c r="R33" s="51">
        <v>0.691068</v>
      </c>
      <c r="S33" s="51">
        <v>0.426811</v>
      </c>
      <c r="T33" s="51">
        <v>0.96423</v>
      </c>
      <c r="U33" s="51">
        <v>0.925498</v>
      </c>
      <c r="V33" s="51">
        <v>0.920174</v>
      </c>
      <c r="W33" s="52">
        <v>0.856477</v>
      </c>
      <c r="X33" s="51">
        <v>29.14087302</v>
      </c>
      <c r="Y33" s="51">
        <v>66.48138528</v>
      </c>
      <c r="Z33" s="51">
        <v>0.03409090909</v>
      </c>
      <c r="AA33" s="51">
        <v>0.5743402326</v>
      </c>
      <c r="AB33" s="51">
        <v>26.4584992122348</v>
      </c>
      <c r="AC33" s="34" t="s">
        <v>0</v>
      </c>
      <c r="AD33" s="34" t="s">
        <v>0</v>
      </c>
      <c r="AE33" s="34" t="s">
        <v>0</v>
      </c>
      <c r="AF33" s="34" t="s">
        <v>0</v>
      </c>
      <c r="AG33" s="34" t="s">
        <v>0</v>
      </c>
      <c r="AH33" s="34" t="s">
        <v>0</v>
      </c>
      <c r="AI33" s="34" t="s">
        <v>0</v>
      </c>
      <c r="AJ33" s="34" t="s">
        <v>0</v>
      </c>
      <c r="AK33" s="34" t="s">
        <v>0</v>
      </c>
    </row>
    <row r="34" spans="1:37">
      <c r="A34" s="27"/>
      <c r="B34" s="27"/>
      <c r="C34" s="26" t="s">
        <v>64</v>
      </c>
      <c r="D34" s="51">
        <v>0.9385432407</v>
      </c>
      <c r="E34" s="51">
        <v>0.5018326539</v>
      </c>
      <c r="F34" s="51">
        <v>0.1012142171</v>
      </c>
      <c r="G34" s="51">
        <v>0.1504510299</v>
      </c>
      <c r="H34" s="51">
        <v>0.542569113</v>
      </c>
      <c r="I34" s="51">
        <v>0.7386363636</v>
      </c>
      <c r="J34" s="51">
        <v>0.6085976851</v>
      </c>
      <c r="K34" s="51">
        <v>0.06595874934</v>
      </c>
      <c r="L34" s="51">
        <v>0.5392736642</v>
      </c>
      <c r="M34" s="51">
        <v>0.1521549941</v>
      </c>
      <c r="N34" s="51">
        <v>0.2307068449</v>
      </c>
      <c r="O34" s="51">
        <v>0.7327678492</v>
      </c>
      <c r="P34" s="51">
        <v>0.6239771029</v>
      </c>
      <c r="Q34" s="51">
        <v>0.7560993615</v>
      </c>
      <c r="R34" s="51">
        <v>0.715495</v>
      </c>
      <c r="S34" s="51">
        <v>0.465612</v>
      </c>
      <c r="T34" s="51">
        <v>0.977007</v>
      </c>
      <c r="U34" s="51">
        <v>0.942327</v>
      </c>
      <c r="V34" s="51">
        <v>0.942611</v>
      </c>
      <c r="W34" s="52">
        <v>0.883215</v>
      </c>
      <c r="X34" s="51">
        <v>37.2260582</v>
      </c>
      <c r="Y34" s="51">
        <v>62.89440837</v>
      </c>
      <c r="Z34" s="51">
        <v>0.03409090909</v>
      </c>
      <c r="AA34" s="51">
        <v>1.108198334</v>
      </c>
      <c r="AB34" s="51">
        <v>30.5480921213121</v>
      </c>
      <c r="AC34" s="34" t="s">
        <v>0</v>
      </c>
      <c r="AD34" s="34" t="s">
        <v>0</v>
      </c>
      <c r="AE34" s="34" t="s">
        <v>0</v>
      </c>
      <c r="AF34" s="34" t="s">
        <v>0</v>
      </c>
      <c r="AG34" s="34" t="s">
        <v>0</v>
      </c>
      <c r="AH34" s="34" t="s">
        <v>0</v>
      </c>
      <c r="AI34" s="34" t="s">
        <v>0</v>
      </c>
      <c r="AJ34" s="34" t="s">
        <v>0</v>
      </c>
      <c r="AK34" s="34" t="s">
        <v>0</v>
      </c>
    </row>
    <row r="35" spans="1:37">
      <c r="A35" s="27"/>
      <c r="B35" s="22" t="s">
        <v>65</v>
      </c>
      <c r="C35" s="26" t="s">
        <v>66</v>
      </c>
      <c r="D35" s="51">
        <v>0.9287960783</v>
      </c>
      <c r="E35" s="51">
        <v>0.7161020143</v>
      </c>
      <c r="F35" s="51">
        <v>0.07839512029</v>
      </c>
      <c r="G35" s="51">
        <v>0.1271454289</v>
      </c>
      <c r="H35" s="51">
        <v>0.7251853633</v>
      </c>
      <c r="I35" s="51">
        <v>0.9772727273</v>
      </c>
      <c r="J35" s="51">
        <v>0.8186742862</v>
      </c>
      <c r="K35" s="51">
        <v>0.01811586698</v>
      </c>
      <c r="L35" s="51">
        <v>0.7233031631</v>
      </c>
      <c r="M35" s="51">
        <v>0.1968018727</v>
      </c>
      <c r="N35" s="51">
        <v>0.3052163049</v>
      </c>
      <c r="O35" s="51">
        <v>0.7864978783</v>
      </c>
      <c r="P35" s="51">
        <v>0.9066491206</v>
      </c>
      <c r="Q35" s="51">
        <v>0.8364347258</v>
      </c>
      <c r="R35" s="51">
        <v>0.72251</v>
      </c>
      <c r="S35" s="51">
        <v>0.496847</v>
      </c>
      <c r="T35" s="51">
        <v>0.967063</v>
      </c>
      <c r="U35" s="51">
        <v>0.925294</v>
      </c>
      <c r="V35" s="51">
        <v>0.930548</v>
      </c>
      <c r="W35" s="52">
        <v>0.863393</v>
      </c>
      <c r="X35" s="51">
        <v>46.19812925</v>
      </c>
      <c r="Y35" s="51">
        <v>28.3655303</v>
      </c>
      <c r="Z35" s="51">
        <v>0.2272727273</v>
      </c>
      <c r="AA35" s="51">
        <v>4.069086692</v>
      </c>
      <c r="AB35" s="51">
        <v>38.2486614588839</v>
      </c>
      <c r="AC35" s="34" t="s">
        <v>0</v>
      </c>
      <c r="AD35" s="34" t="s">
        <v>0</v>
      </c>
      <c r="AE35" s="34" t="s">
        <v>0</v>
      </c>
      <c r="AF35" s="34" t="s">
        <v>0</v>
      </c>
      <c r="AG35" s="34" t="s">
        <v>0</v>
      </c>
      <c r="AH35" s="34" t="s">
        <v>0</v>
      </c>
      <c r="AI35" s="34" t="s">
        <v>0</v>
      </c>
      <c r="AJ35" s="34" t="s">
        <v>0</v>
      </c>
      <c r="AK35" s="34" t="s">
        <v>0</v>
      </c>
    </row>
    <row r="36" spans="1:37">
      <c r="A36" s="27"/>
      <c r="B36" s="28"/>
      <c r="C36" s="26" t="s">
        <v>67</v>
      </c>
      <c r="D36" s="51">
        <v>0.9250975155</v>
      </c>
      <c r="E36" s="51">
        <v>0.7255673496</v>
      </c>
      <c r="F36" s="51">
        <v>0.07557477564</v>
      </c>
      <c r="G36" s="51">
        <v>0.1229661124</v>
      </c>
      <c r="H36" s="51">
        <v>0.7297701292</v>
      </c>
      <c r="I36" s="51">
        <v>0.9886363636</v>
      </c>
      <c r="J36" s="51">
        <v>0.8259686019</v>
      </c>
      <c r="K36" s="51">
        <v>0.01148185974</v>
      </c>
      <c r="L36" s="51">
        <v>0.7283016746</v>
      </c>
      <c r="M36" s="51">
        <v>0.1989047135</v>
      </c>
      <c r="N36" s="51">
        <v>0.3084800369</v>
      </c>
      <c r="O36" s="51">
        <v>0.788623905</v>
      </c>
      <c r="P36" s="51">
        <v>0.9054743529</v>
      </c>
      <c r="Q36" s="51">
        <v>0.8348704505</v>
      </c>
      <c r="R36" s="51">
        <v>0.7304</v>
      </c>
      <c r="S36" s="51">
        <v>0.524416</v>
      </c>
      <c r="T36" s="51">
        <v>0.96638</v>
      </c>
      <c r="U36" s="51">
        <v>0.927941</v>
      </c>
      <c r="V36" s="51">
        <v>0.931506</v>
      </c>
      <c r="W36" s="52">
        <v>0.871457</v>
      </c>
      <c r="X36" s="51">
        <v>42.51785714</v>
      </c>
      <c r="Y36" s="51">
        <v>28.76839827</v>
      </c>
      <c r="Z36" s="51">
        <v>0.1818181818</v>
      </c>
      <c r="AA36" s="51">
        <v>4.575745862</v>
      </c>
      <c r="AB36" s="51">
        <v>21.6513762558478</v>
      </c>
      <c r="AC36" s="34" t="s">
        <v>0</v>
      </c>
      <c r="AD36" s="34" t="s">
        <v>0</v>
      </c>
      <c r="AE36" s="34" t="s">
        <v>0</v>
      </c>
      <c r="AF36" s="34" t="s">
        <v>0</v>
      </c>
      <c r="AG36" s="34" t="s">
        <v>0</v>
      </c>
      <c r="AH36" s="34" t="s">
        <v>0</v>
      </c>
      <c r="AI36" s="34" t="s">
        <v>0</v>
      </c>
      <c r="AJ36" s="34" t="s">
        <v>0</v>
      </c>
      <c r="AK36" s="34" t="s">
        <v>0</v>
      </c>
    </row>
    <row r="37" spans="1:37">
      <c r="A37" s="27"/>
      <c r="B37" s="22" t="s">
        <v>68</v>
      </c>
      <c r="C37" s="26" t="s">
        <v>69</v>
      </c>
      <c r="D37" s="51">
        <v>0.9282118635</v>
      </c>
      <c r="E37" s="51">
        <v>0.6802105124</v>
      </c>
      <c r="F37" s="51">
        <v>0.06965360333</v>
      </c>
      <c r="G37" s="51">
        <v>0.11417594</v>
      </c>
      <c r="H37" s="51">
        <v>0.7102492691</v>
      </c>
      <c r="I37" s="51">
        <v>0.9545454545</v>
      </c>
      <c r="J37" s="51">
        <v>0.7964792668</v>
      </c>
      <c r="K37" s="51">
        <v>0.008776077067</v>
      </c>
      <c r="L37" s="51">
        <v>0.7071062413</v>
      </c>
      <c r="M37" s="51">
        <v>0.1919222905</v>
      </c>
      <c r="N37" s="51">
        <v>0.2961228073</v>
      </c>
      <c r="O37" s="51">
        <v>0.7654851797</v>
      </c>
      <c r="P37" s="51">
        <v>0.8922196749</v>
      </c>
      <c r="Q37" s="51">
        <v>0.8236561725</v>
      </c>
      <c r="R37" s="51">
        <v>0.712269</v>
      </c>
      <c r="S37" s="51">
        <v>0.484986</v>
      </c>
      <c r="T37" s="51">
        <v>0.962765</v>
      </c>
      <c r="U37" s="51">
        <v>0.91956</v>
      </c>
      <c r="V37" s="51">
        <v>0.923394</v>
      </c>
      <c r="W37" s="52">
        <v>0.854593</v>
      </c>
      <c r="X37" s="51">
        <v>33.91836735</v>
      </c>
      <c r="Y37" s="51">
        <v>28.29816017</v>
      </c>
      <c r="Z37" s="51">
        <v>0.1818181818</v>
      </c>
      <c r="AA37" s="51">
        <v>4.910355976</v>
      </c>
      <c r="AB37" s="51">
        <v>32.5290482651181</v>
      </c>
      <c r="AC37" s="34" t="s">
        <v>0</v>
      </c>
      <c r="AD37" s="34" t="s">
        <v>0</v>
      </c>
      <c r="AE37" s="34" t="s">
        <v>0</v>
      </c>
      <c r="AF37" s="34" t="s">
        <v>0</v>
      </c>
      <c r="AG37" s="34" t="s">
        <v>0</v>
      </c>
      <c r="AH37" s="34" t="s">
        <v>0</v>
      </c>
      <c r="AI37" s="34" t="s">
        <v>0</v>
      </c>
      <c r="AJ37" s="34" t="s">
        <v>0</v>
      </c>
      <c r="AK37" s="34" t="s">
        <v>0</v>
      </c>
    </row>
    <row r="38" spans="1:37">
      <c r="A38" s="27"/>
      <c r="B38" s="27"/>
      <c r="C38" s="26" t="s">
        <v>70</v>
      </c>
      <c r="D38" s="51">
        <v>0.9259145377</v>
      </c>
      <c r="E38" s="51">
        <v>0.7097016551</v>
      </c>
      <c r="F38" s="51">
        <v>0.07329439678</v>
      </c>
      <c r="G38" s="51">
        <v>0.1199399845</v>
      </c>
      <c r="H38" s="51">
        <v>0.7119950664</v>
      </c>
      <c r="I38" s="51">
        <v>0.9659090909</v>
      </c>
      <c r="J38" s="51">
        <v>0.8063649437</v>
      </c>
      <c r="K38" s="51">
        <v>0.009115750064</v>
      </c>
      <c r="L38" s="51">
        <v>0.7115439213</v>
      </c>
      <c r="M38" s="51">
        <v>0.1942074644</v>
      </c>
      <c r="N38" s="51">
        <v>0.3011537509</v>
      </c>
      <c r="O38" s="51">
        <v>0.7792828487</v>
      </c>
      <c r="P38" s="51">
        <v>0.9047577472</v>
      </c>
      <c r="Q38" s="51">
        <v>0.8354014606</v>
      </c>
      <c r="R38" s="51">
        <v>0.730759</v>
      </c>
      <c r="S38" s="51">
        <v>0.520986</v>
      </c>
      <c r="T38" s="51">
        <v>0.96641</v>
      </c>
      <c r="U38" s="51">
        <v>0.929197</v>
      </c>
      <c r="V38" s="51">
        <v>0.931275</v>
      </c>
      <c r="W38" s="52">
        <v>0.872429</v>
      </c>
      <c r="X38" s="51">
        <v>45.55612245</v>
      </c>
      <c r="Y38" s="51">
        <v>25.14853896</v>
      </c>
      <c r="Z38" s="51">
        <v>0.2386363636</v>
      </c>
      <c r="AA38" s="51">
        <v>5.185507959</v>
      </c>
      <c r="AB38" s="51">
        <v>24.3263730435328</v>
      </c>
      <c r="AC38" s="34" t="s">
        <v>0</v>
      </c>
      <c r="AD38" s="34" t="s">
        <v>0</v>
      </c>
      <c r="AE38" s="34" t="s">
        <v>0</v>
      </c>
      <c r="AF38" s="34" t="s">
        <v>0</v>
      </c>
      <c r="AG38" s="34" t="s">
        <v>0</v>
      </c>
      <c r="AH38" s="34" t="s">
        <v>0</v>
      </c>
      <c r="AI38" s="34" t="s">
        <v>0</v>
      </c>
      <c r="AJ38" s="34" t="s">
        <v>0</v>
      </c>
      <c r="AK38" s="34" t="s">
        <v>0</v>
      </c>
    </row>
    <row r="39" spans="1:37">
      <c r="A39" s="27"/>
      <c r="B39" s="27"/>
      <c r="C39" s="26" t="s">
        <v>71</v>
      </c>
      <c r="D39" s="51">
        <v>0.9250228415</v>
      </c>
      <c r="E39" s="51">
        <v>0.7308683241</v>
      </c>
      <c r="F39" s="51">
        <v>0.07504444499</v>
      </c>
      <c r="G39" s="51">
        <v>0.1226211684</v>
      </c>
      <c r="H39" s="51">
        <v>0.7318871171</v>
      </c>
      <c r="I39" s="51">
        <v>0.9772727273</v>
      </c>
      <c r="J39" s="51">
        <v>0.8252886771</v>
      </c>
      <c r="K39" s="51">
        <v>0.01260356238</v>
      </c>
      <c r="L39" s="51">
        <v>0.7307910833</v>
      </c>
      <c r="M39" s="51">
        <v>0.1966060126</v>
      </c>
      <c r="N39" s="51">
        <v>0.3065617056</v>
      </c>
      <c r="O39" s="51">
        <v>0.795165376</v>
      </c>
      <c r="P39" s="51">
        <v>0.9044644327</v>
      </c>
      <c r="Q39" s="51">
        <v>0.8434332635</v>
      </c>
      <c r="R39" s="51">
        <v>0.729066</v>
      </c>
      <c r="S39" s="51">
        <v>0.521525</v>
      </c>
      <c r="T39" s="51">
        <v>0.966475</v>
      </c>
      <c r="U39" s="51">
        <v>0.928076</v>
      </c>
      <c r="V39" s="51">
        <v>0.930812</v>
      </c>
      <c r="W39" s="52">
        <v>0.870072</v>
      </c>
      <c r="X39" s="51">
        <v>46.50651927</v>
      </c>
      <c r="Y39" s="51">
        <v>31.5487013</v>
      </c>
      <c r="Z39" s="51">
        <v>0.2045454545</v>
      </c>
      <c r="AA39" s="51">
        <v>4.695294655</v>
      </c>
      <c r="AB39" s="51">
        <v>22.3061521336703</v>
      </c>
      <c r="AC39" s="34" t="s">
        <v>0</v>
      </c>
      <c r="AD39" s="34" t="s">
        <v>0</v>
      </c>
      <c r="AE39" s="34" t="s">
        <v>0</v>
      </c>
      <c r="AF39" s="34" t="s">
        <v>0</v>
      </c>
      <c r="AG39" s="34" t="s">
        <v>0</v>
      </c>
      <c r="AH39" s="34" t="s">
        <v>0</v>
      </c>
      <c r="AI39" s="34" t="s">
        <v>0</v>
      </c>
      <c r="AJ39" s="34" t="s">
        <v>0</v>
      </c>
      <c r="AK39" s="34" t="s">
        <v>0</v>
      </c>
    </row>
    <row r="40" spans="1:37">
      <c r="A40" s="27"/>
      <c r="B40" s="28"/>
      <c r="C40" s="26" t="s">
        <v>72</v>
      </c>
      <c r="D40" s="51">
        <v>0.9290244931</v>
      </c>
      <c r="E40" s="51">
        <v>0.7191751329</v>
      </c>
      <c r="F40" s="51">
        <v>0.07384452779</v>
      </c>
      <c r="G40" s="51">
        <v>0.1203266145</v>
      </c>
      <c r="H40" s="51">
        <v>0.7267287604</v>
      </c>
      <c r="I40" s="51">
        <v>0.9772727273</v>
      </c>
      <c r="J40" s="51">
        <v>0.8193477823</v>
      </c>
      <c r="K40" s="51">
        <v>0.009093471398</v>
      </c>
      <c r="L40" s="51">
        <v>0.725510789</v>
      </c>
      <c r="M40" s="51">
        <v>0.196550907</v>
      </c>
      <c r="N40" s="51">
        <v>0.3050001057</v>
      </c>
      <c r="O40" s="51">
        <v>0.7760406736</v>
      </c>
      <c r="P40" s="51">
        <v>0.9059495745</v>
      </c>
      <c r="Q40" s="51">
        <v>0.820882242</v>
      </c>
      <c r="R40" s="51">
        <v>0.731985</v>
      </c>
      <c r="S40" s="51">
        <v>0.533908</v>
      </c>
      <c r="T40" s="51">
        <v>0.967373</v>
      </c>
      <c r="U40" s="51">
        <v>0.931089</v>
      </c>
      <c r="V40" s="51">
        <v>0.932949</v>
      </c>
      <c r="W40" s="52">
        <v>0.876982</v>
      </c>
      <c r="X40" s="51">
        <v>40.69458617</v>
      </c>
      <c r="Y40" s="51">
        <v>28.97943723</v>
      </c>
      <c r="Z40" s="51">
        <v>0.1704545455</v>
      </c>
      <c r="AA40" s="51">
        <v>4.675686123</v>
      </c>
      <c r="AB40" s="51">
        <v>22.299272676808</v>
      </c>
      <c r="AC40" s="34" t="s">
        <v>0</v>
      </c>
      <c r="AD40" s="34" t="s">
        <v>0</v>
      </c>
      <c r="AE40" s="34" t="s">
        <v>0</v>
      </c>
      <c r="AF40" s="34" t="s">
        <v>0</v>
      </c>
      <c r="AG40" s="34" t="s">
        <v>0</v>
      </c>
      <c r="AH40" s="34" t="s">
        <v>0</v>
      </c>
      <c r="AI40" s="34" t="s">
        <v>0</v>
      </c>
      <c r="AJ40" s="34" t="s">
        <v>0</v>
      </c>
      <c r="AK40" s="34" t="s">
        <v>0</v>
      </c>
    </row>
    <row r="41" spans="1:37">
      <c r="A41" s="28"/>
      <c r="B41" s="22" t="s">
        <v>73</v>
      </c>
      <c r="C41" s="22" t="s">
        <v>74</v>
      </c>
      <c r="D41" s="51">
        <v>0.916676916</v>
      </c>
      <c r="E41" s="51">
        <v>0.6212390296</v>
      </c>
      <c r="F41" s="51">
        <v>0.1300251273</v>
      </c>
      <c r="G41" s="51">
        <v>0.1902789862</v>
      </c>
      <c r="H41" s="51">
        <v>0.6029381537</v>
      </c>
      <c r="I41" s="51">
        <v>0.8181818182</v>
      </c>
      <c r="J41" s="51">
        <v>0.678261805</v>
      </c>
      <c r="K41" s="51">
        <v>0.06541344458</v>
      </c>
      <c r="L41" s="51">
        <v>0.6008047547</v>
      </c>
      <c r="M41" s="51">
        <v>0.1693008582</v>
      </c>
      <c r="N41" s="51">
        <v>0.2584959633</v>
      </c>
      <c r="O41" s="51">
        <v>0.7774857512</v>
      </c>
      <c r="P41" s="51">
        <v>0.7459430501</v>
      </c>
      <c r="Q41" s="51">
        <v>0.7911724932</v>
      </c>
      <c r="R41" s="51">
        <v>0.76857</v>
      </c>
      <c r="S41" s="51">
        <v>0.558076</v>
      </c>
      <c r="T41" s="51">
        <v>0.970321</v>
      </c>
      <c r="U41" s="51">
        <v>0.936049</v>
      </c>
      <c r="V41" s="51">
        <v>0.943852</v>
      </c>
      <c r="W41" s="52">
        <v>0.885136</v>
      </c>
      <c r="X41" s="51">
        <v>34.51060091</v>
      </c>
      <c r="Y41" s="51">
        <v>23.33912338</v>
      </c>
      <c r="Z41" s="51">
        <v>0.125</v>
      </c>
      <c r="AA41" s="51">
        <v>1.946304951</v>
      </c>
      <c r="AB41" s="51">
        <v>30.1836393983157</v>
      </c>
      <c r="AC41" s="34" t="s">
        <v>0</v>
      </c>
      <c r="AD41" s="34" t="s">
        <v>0</v>
      </c>
      <c r="AE41" s="34" t="s">
        <v>0</v>
      </c>
      <c r="AF41" s="34" t="s">
        <v>0</v>
      </c>
      <c r="AG41" s="34" t="s">
        <v>0</v>
      </c>
      <c r="AH41" s="34" t="s">
        <v>0</v>
      </c>
      <c r="AI41" s="34" t="s">
        <v>0</v>
      </c>
      <c r="AJ41" s="34" t="s">
        <v>0</v>
      </c>
      <c r="AK41" s="34" t="s">
        <v>0</v>
      </c>
    </row>
    <row r="42" spans="1:37">
      <c r="A42" s="25" t="s">
        <v>0</v>
      </c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</row>
    <row r="43" spans="1:37">
      <c r="A43" s="22" t="s">
        <v>0</v>
      </c>
      <c r="B43" s="22" t="s">
        <v>0</v>
      </c>
      <c r="D43" s="24" t="s">
        <v>7</v>
      </c>
      <c r="E43" s="22" t="s">
        <v>8</v>
      </c>
      <c r="F43" s="22" t="s">
        <v>9</v>
      </c>
      <c r="G43" s="22" t="s">
        <v>10</v>
      </c>
      <c r="H43" s="22" t="s">
        <v>11</v>
      </c>
      <c r="I43" s="22" t="s">
        <v>12</v>
      </c>
      <c r="J43" s="22" t="s">
        <v>13</v>
      </c>
      <c r="K43" s="22" t="s">
        <v>14</v>
      </c>
      <c r="L43" s="22" t="s">
        <v>15</v>
      </c>
      <c r="M43" s="22" t="s">
        <v>16</v>
      </c>
      <c r="N43" s="22" t="s">
        <v>17</v>
      </c>
      <c r="O43" s="22" t="s">
        <v>18</v>
      </c>
      <c r="P43" s="22" t="s">
        <v>19</v>
      </c>
      <c r="Q43" s="22" t="s">
        <v>20</v>
      </c>
      <c r="R43" s="22" t="s">
        <v>21</v>
      </c>
      <c r="S43" s="22" t="s">
        <v>22</v>
      </c>
      <c r="T43" s="22" t="s">
        <v>23</v>
      </c>
      <c r="U43" s="22" t="s">
        <v>24</v>
      </c>
      <c r="V43" s="22" t="s">
        <v>25</v>
      </c>
      <c r="W43" s="25" t="s">
        <v>26</v>
      </c>
      <c r="X43" s="22" t="s">
        <v>27</v>
      </c>
      <c r="Y43" s="22" t="s">
        <v>28</v>
      </c>
      <c r="Z43" s="22" t="s">
        <v>29</v>
      </c>
      <c r="AA43" s="24" t="s">
        <v>30</v>
      </c>
      <c r="AB43" s="24" t="s">
        <v>31</v>
      </c>
      <c r="AC43" s="34" t="s">
        <v>0</v>
      </c>
      <c r="AD43" s="34" t="s">
        <v>0</v>
      </c>
      <c r="AE43" s="34" t="s">
        <v>0</v>
      </c>
      <c r="AF43" s="34" t="s">
        <v>0</v>
      </c>
      <c r="AG43" s="34" t="s">
        <v>0</v>
      </c>
      <c r="AH43" s="34" t="s">
        <v>0</v>
      </c>
      <c r="AI43" s="34" t="s">
        <v>0</v>
      </c>
      <c r="AJ43" s="34" t="s">
        <v>0</v>
      </c>
      <c r="AK43" s="34" t="s">
        <v>0</v>
      </c>
    </row>
    <row r="44" spans="1:37">
      <c r="A44" s="22" t="s">
        <v>75</v>
      </c>
      <c r="B44" s="22" t="s">
        <v>33</v>
      </c>
      <c r="C44" s="22" t="s">
        <v>34</v>
      </c>
      <c r="D44" s="51">
        <v>0.9515361187</v>
      </c>
      <c r="E44" s="51">
        <v>0.8257752882</v>
      </c>
      <c r="F44" s="51">
        <v>0.05934523602</v>
      </c>
      <c r="G44" s="51">
        <v>0.1099002722</v>
      </c>
      <c r="H44" s="51">
        <v>0.8519359716</v>
      </c>
      <c r="I44" s="51">
        <v>1</v>
      </c>
      <c r="J44" s="51">
        <v>0.9168707324</v>
      </c>
      <c r="K44" s="51">
        <v>0.01873309673</v>
      </c>
      <c r="L44" s="51">
        <v>0.8519359716</v>
      </c>
      <c r="M44" s="51">
        <v>0.2003798811</v>
      </c>
      <c r="N44" s="51">
        <v>0.3237417477</v>
      </c>
      <c r="O44" s="51">
        <v>0.8385172516</v>
      </c>
      <c r="P44" s="51">
        <v>0.9867062029</v>
      </c>
      <c r="Q44" s="51">
        <v>0.9028946156</v>
      </c>
      <c r="R44" s="51">
        <v>0.843051</v>
      </c>
      <c r="S44" s="51">
        <v>0.389173</v>
      </c>
      <c r="T44" s="51">
        <v>0.992525</v>
      </c>
      <c r="U44" s="51">
        <v>0.959783</v>
      </c>
      <c r="V44" s="51">
        <v>0.977994</v>
      </c>
      <c r="W44" s="52">
        <v>0.904489</v>
      </c>
      <c r="X44" s="51">
        <v>33.88888889</v>
      </c>
      <c r="Y44" s="51">
        <v>17.08333333</v>
      </c>
      <c r="Z44" s="51">
        <v>0.1666666667</v>
      </c>
      <c r="AA44" s="51">
        <v>4.002483811</v>
      </c>
      <c r="AB44" s="51">
        <v>5.84246330110992</v>
      </c>
      <c r="AC44" s="34" t="s">
        <v>0</v>
      </c>
      <c r="AD44" s="34" t="s">
        <v>0</v>
      </c>
      <c r="AE44" s="34" t="s">
        <v>0</v>
      </c>
      <c r="AF44" s="34" t="s">
        <v>0</v>
      </c>
      <c r="AG44" s="34" t="s">
        <v>0</v>
      </c>
      <c r="AH44" s="34" t="s">
        <v>0</v>
      </c>
      <c r="AI44" s="34" t="s">
        <v>0</v>
      </c>
      <c r="AJ44" s="34" t="s">
        <v>0</v>
      </c>
      <c r="AK44" s="34" t="s">
        <v>0</v>
      </c>
    </row>
    <row r="45" spans="1:37">
      <c r="A45" s="27"/>
      <c r="B45" s="27"/>
      <c r="C45" s="22" t="s">
        <v>35</v>
      </c>
      <c r="D45" s="51">
        <v>0.9572134008</v>
      </c>
      <c r="E45" s="51">
        <v>0.8124599052</v>
      </c>
      <c r="F45" s="51">
        <v>0.04664579858</v>
      </c>
      <c r="G45" s="51">
        <v>0.08662685593</v>
      </c>
      <c r="H45" s="51">
        <v>0.8198853584</v>
      </c>
      <c r="I45" s="51">
        <v>1</v>
      </c>
      <c r="J45" s="51">
        <v>0.8916545839</v>
      </c>
      <c r="K45" s="51">
        <v>0.004882984261</v>
      </c>
      <c r="L45" s="51">
        <v>0.8198853584</v>
      </c>
      <c r="M45" s="51">
        <v>0.2002677683</v>
      </c>
      <c r="N45" s="51">
        <v>0.3195657674</v>
      </c>
      <c r="O45" s="51">
        <v>0.8329221827</v>
      </c>
      <c r="P45" s="51">
        <v>0.9849119131</v>
      </c>
      <c r="Q45" s="51">
        <v>0.8933514603</v>
      </c>
      <c r="R45" s="51">
        <v>0.814201</v>
      </c>
      <c r="S45" s="51">
        <v>0.31512</v>
      </c>
      <c r="T45" s="51">
        <v>0.990635</v>
      </c>
      <c r="U45" s="51">
        <v>0.952835</v>
      </c>
      <c r="V45" s="51">
        <v>0.972758</v>
      </c>
      <c r="W45" s="52">
        <v>0.887628</v>
      </c>
      <c r="X45" s="51">
        <v>30.05555556</v>
      </c>
      <c r="Y45" s="51">
        <v>22.02777778</v>
      </c>
      <c r="Z45" s="51">
        <v>0.1666666667</v>
      </c>
      <c r="AA45" s="51">
        <v>4.074869156</v>
      </c>
      <c r="AB45" s="51">
        <v>5.6951476793249</v>
      </c>
      <c r="AC45" s="34" t="s">
        <v>0</v>
      </c>
      <c r="AD45" s="34" t="s">
        <v>0</v>
      </c>
      <c r="AE45" s="34" t="s">
        <v>0</v>
      </c>
      <c r="AF45" s="34" t="s">
        <v>0</v>
      </c>
      <c r="AG45" s="34" t="s">
        <v>0</v>
      </c>
      <c r="AH45" s="34" t="s">
        <v>0</v>
      </c>
      <c r="AI45" s="34" t="s">
        <v>0</v>
      </c>
      <c r="AJ45" s="34" t="s">
        <v>0</v>
      </c>
      <c r="AK45" s="34" t="s">
        <v>0</v>
      </c>
    </row>
    <row r="46" spans="1:37">
      <c r="A46" s="27"/>
      <c r="B46" s="28"/>
      <c r="C46" s="22" t="s">
        <v>36</v>
      </c>
      <c r="D46" s="51">
        <v>0.7196842012</v>
      </c>
      <c r="E46" s="51">
        <v>0.8208441968</v>
      </c>
      <c r="F46" s="51">
        <v>0.3535305551</v>
      </c>
      <c r="G46" s="51">
        <v>0.4896157077</v>
      </c>
      <c r="H46" s="51">
        <v>0.8535361133</v>
      </c>
      <c r="I46" s="51">
        <v>1</v>
      </c>
      <c r="J46" s="51">
        <v>0.9170580764</v>
      </c>
      <c r="K46" s="51">
        <v>0.03608196566</v>
      </c>
      <c r="L46" s="51">
        <v>0.8534764109</v>
      </c>
      <c r="M46" s="51">
        <v>0.2005774951</v>
      </c>
      <c r="N46" s="51">
        <v>0.3239487303</v>
      </c>
      <c r="O46" s="51">
        <v>0.8351208282</v>
      </c>
      <c r="P46" s="51">
        <v>0.998090886</v>
      </c>
      <c r="Q46" s="51">
        <v>0.906316806</v>
      </c>
      <c r="R46" s="51">
        <v>0.834446</v>
      </c>
      <c r="S46" s="51">
        <v>0.381487</v>
      </c>
      <c r="T46" s="51">
        <v>0.991653</v>
      </c>
      <c r="U46" s="51">
        <v>0.95794</v>
      </c>
      <c r="V46" s="51">
        <v>0.97565</v>
      </c>
      <c r="W46" s="52">
        <v>0.900215</v>
      </c>
      <c r="X46" s="51">
        <v>40.54166667</v>
      </c>
      <c r="Y46" s="51">
        <v>2.888888889</v>
      </c>
      <c r="Z46" s="51">
        <v>0.1666666667</v>
      </c>
      <c r="AA46" s="51">
        <v>14.3663621</v>
      </c>
      <c r="AB46" s="51">
        <v>1.66220901436355</v>
      </c>
      <c r="AC46" s="34" t="s">
        <v>0</v>
      </c>
      <c r="AD46" s="34" t="s">
        <v>0</v>
      </c>
      <c r="AE46" s="34" t="s">
        <v>0</v>
      </c>
      <c r="AF46" s="34" t="s">
        <v>0</v>
      </c>
      <c r="AG46" s="34" t="s">
        <v>0</v>
      </c>
      <c r="AH46" s="34" t="s">
        <v>0</v>
      </c>
      <c r="AI46" s="34" t="s">
        <v>0</v>
      </c>
      <c r="AJ46" s="34" t="s">
        <v>0</v>
      </c>
      <c r="AK46" s="34" t="s">
        <v>0</v>
      </c>
    </row>
    <row r="47" spans="1:37">
      <c r="A47" s="27"/>
      <c r="B47" s="22" t="s">
        <v>37</v>
      </c>
      <c r="C47" s="22" t="s">
        <v>38</v>
      </c>
      <c r="D47" s="51">
        <v>0.9138132411</v>
      </c>
      <c r="E47" s="51">
        <v>0.8184005151</v>
      </c>
      <c r="F47" s="51">
        <v>0.08994579615</v>
      </c>
      <c r="G47" s="51">
        <v>0.1429576902</v>
      </c>
      <c r="H47" s="51">
        <v>0.834193651</v>
      </c>
      <c r="I47" s="51">
        <v>0.9583333333</v>
      </c>
      <c r="J47" s="51">
        <v>0.8844338795</v>
      </c>
      <c r="K47" s="51">
        <v>0.01662518002</v>
      </c>
      <c r="L47" s="51">
        <v>0.834193651</v>
      </c>
      <c r="M47" s="51">
        <v>0.1920845254</v>
      </c>
      <c r="N47" s="51">
        <v>0.310452967</v>
      </c>
      <c r="O47" s="51">
        <v>0.865105745</v>
      </c>
      <c r="P47" s="51">
        <v>0.8991435183</v>
      </c>
      <c r="Q47" s="51">
        <v>0.883078627</v>
      </c>
      <c r="R47" s="51">
        <v>0.859168</v>
      </c>
      <c r="S47" s="51">
        <v>0.534875</v>
      </c>
      <c r="T47" s="51">
        <v>0.9919</v>
      </c>
      <c r="U47" s="51">
        <v>0.9639</v>
      </c>
      <c r="V47" s="51">
        <v>0.977054</v>
      </c>
      <c r="W47" s="52">
        <v>0.917502</v>
      </c>
      <c r="X47" s="51">
        <v>24.10138889</v>
      </c>
      <c r="Y47" s="51">
        <v>47.20337302</v>
      </c>
      <c r="Z47" s="51">
        <v>0</v>
      </c>
      <c r="AA47" s="51">
        <v>3.640024838</v>
      </c>
      <c r="AB47" s="51">
        <v>12.7491262961786</v>
      </c>
      <c r="AC47" s="34" t="s">
        <v>0</v>
      </c>
      <c r="AD47" s="34" t="s">
        <v>0</v>
      </c>
      <c r="AE47" s="34" t="s">
        <v>0</v>
      </c>
      <c r="AF47" s="34" t="s">
        <v>0</v>
      </c>
      <c r="AG47" s="34" t="s">
        <v>0</v>
      </c>
      <c r="AH47" s="34" t="s">
        <v>0</v>
      </c>
      <c r="AI47" s="34" t="s">
        <v>0</v>
      </c>
      <c r="AJ47" s="34" t="s">
        <v>0</v>
      </c>
      <c r="AK47" s="34" t="s">
        <v>0</v>
      </c>
    </row>
    <row r="48" spans="1:37">
      <c r="A48" s="27"/>
      <c r="B48" s="27"/>
      <c r="C48" s="22" t="s">
        <v>39</v>
      </c>
      <c r="D48" s="51">
        <v>0.9838552293</v>
      </c>
      <c r="E48" s="51">
        <v>0.621253368</v>
      </c>
      <c r="F48" s="51">
        <v>0.02452385191</v>
      </c>
      <c r="G48" s="51">
        <v>0.04678083795</v>
      </c>
      <c r="H48" s="51">
        <v>0.7759769624</v>
      </c>
      <c r="I48" s="51">
        <v>1</v>
      </c>
      <c r="J48" s="51">
        <v>0.8609298381</v>
      </c>
      <c r="K48" s="51">
        <v>0.002851539914</v>
      </c>
      <c r="L48" s="51">
        <v>0.7759769624</v>
      </c>
      <c r="M48" s="51">
        <v>0.2002674893</v>
      </c>
      <c r="N48" s="51">
        <v>0.3149829465</v>
      </c>
      <c r="O48" s="51">
        <v>0.6499792714</v>
      </c>
      <c r="P48" s="51">
        <v>0.9696176619</v>
      </c>
      <c r="Q48" s="51">
        <v>0.7497184423</v>
      </c>
      <c r="R48" s="51">
        <v>0.802227</v>
      </c>
      <c r="S48" s="51">
        <v>0.312415</v>
      </c>
      <c r="T48" s="51">
        <v>0.989991</v>
      </c>
      <c r="U48" s="51">
        <v>0.953229</v>
      </c>
      <c r="V48" s="51">
        <v>0.971039</v>
      </c>
      <c r="W48" s="52">
        <v>0.88827</v>
      </c>
      <c r="X48" s="51">
        <v>29.75</v>
      </c>
      <c r="Y48" s="51">
        <v>24.80555556</v>
      </c>
      <c r="Z48" s="51">
        <v>0.1666666667</v>
      </c>
      <c r="AA48" s="51">
        <v>1.515834294</v>
      </c>
      <c r="AB48" s="51">
        <v>14.9341978866474</v>
      </c>
      <c r="AC48" s="34" t="s">
        <v>0</v>
      </c>
      <c r="AD48" s="34" t="s">
        <v>0</v>
      </c>
      <c r="AE48" s="34" t="s">
        <v>0</v>
      </c>
      <c r="AF48" s="34" t="s">
        <v>0</v>
      </c>
      <c r="AG48" s="34" t="s">
        <v>0</v>
      </c>
      <c r="AH48" s="34" t="s">
        <v>0</v>
      </c>
      <c r="AI48" s="34" t="s">
        <v>0</v>
      </c>
      <c r="AJ48" s="34" t="s">
        <v>0</v>
      </c>
      <c r="AK48" s="34" t="s">
        <v>0</v>
      </c>
    </row>
    <row r="49" spans="1:37">
      <c r="A49" s="27"/>
      <c r="B49" s="27"/>
      <c r="C49" s="22" t="s">
        <v>40</v>
      </c>
      <c r="D49" s="51">
        <v>0.8977239126</v>
      </c>
      <c r="E49" s="51">
        <v>0.6364940718</v>
      </c>
      <c r="F49" s="51">
        <v>0.1166451153</v>
      </c>
      <c r="G49" s="51">
        <v>0.1775043735</v>
      </c>
      <c r="H49" s="51">
        <v>0.6267668219</v>
      </c>
      <c r="I49" s="51">
        <v>0.7083333333</v>
      </c>
      <c r="J49" s="51">
        <v>0.6610914432</v>
      </c>
      <c r="K49" s="51">
        <v>0.05118577607</v>
      </c>
      <c r="L49" s="51">
        <v>0.6229845276</v>
      </c>
      <c r="M49" s="51">
        <v>0.1505634153</v>
      </c>
      <c r="N49" s="51">
        <v>0.2412335576</v>
      </c>
      <c r="O49" s="51">
        <v>0.8999310934</v>
      </c>
      <c r="P49" s="51">
        <v>0.5869816893</v>
      </c>
      <c r="Q49" s="51">
        <v>0.8495144665</v>
      </c>
      <c r="R49" s="51">
        <v>0.861842</v>
      </c>
      <c r="S49" s="51">
        <v>0.421756</v>
      </c>
      <c r="T49" s="51">
        <v>0.993944</v>
      </c>
      <c r="U49" s="51">
        <v>0.961852</v>
      </c>
      <c r="V49" s="51">
        <v>0.981955</v>
      </c>
      <c r="W49" s="52">
        <v>0.909444</v>
      </c>
      <c r="X49" s="51">
        <v>28.63541667</v>
      </c>
      <c r="Y49" s="51">
        <v>177.6337963</v>
      </c>
      <c r="Z49" s="51">
        <v>0.04166666667</v>
      </c>
      <c r="AA49" s="51">
        <v>0.1953339839</v>
      </c>
      <c r="AB49" s="51">
        <v>278.139346764347</v>
      </c>
      <c r="AC49" s="34" t="s">
        <v>0</v>
      </c>
      <c r="AD49" s="34" t="s">
        <v>0</v>
      </c>
      <c r="AE49" s="34" t="s">
        <v>0</v>
      </c>
      <c r="AF49" s="34" t="s">
        <v>0</v>
      </c>
      <c r="AG49" s="34" t="s">
        <v>0</v>
      </c>
      <c r="AH49" s="34" t="s">
        <v>0</v>
      </c>
      <c r="AI49" s="34" t="s">
        <v>0</v>
      </c>
      <c r="AJ49" s="34" t="s">
        <v>0</v>
      </c>
      <c r="AK49" s="34" t="s">
        <v>0</v>
      </c>
    </row>
    <row r="50" spans="1:37">
      <c r="A50" s="27"/>
      <c r="B50" s="27"/>
      <c r="C50" s="22" t="s">
        <v>41</v>
      </c>
      <c r="D50" s="51">
        <v>0.8968331411</v>
      </c>
      <c r="E50" s="51">
        <v>0.8053095169</v>
      </c>
      <c r="F50" s="51">
        <v>0.1278476861</v>
      </c>
      <c r="G50" s="51">
        <v>0.2196180745</v>
      </c>
      <c r="H50" s="51">
        <v>0.8163240897</v>
      </c>
      <c r="I50" s="51">
        <v>1</v>
      </c>
      <c r="J50" s="51">
        <v>0.894620429</v>
      </c>
      <c r="K50" s="51">
        <v>0.02769134891</v>
      </c>
      <c r="L50" s="51">
        <v>0.8163041025</v>
      </c>
      <c r="M50" s="51">
        <v>0.2004791546</v>
      </c>
      <c r="N50" s="51">
        <v>0.320929006</v>
      </c>
      <c r="O50" s="51">
        <v>0.8218450346</v>
      </c>
      <c r="P50" s="51">
        <v>0.9926119023</v>
      </c>
      <c r="Q50" s="51">
        <v>0.8949059424</v>
      </c>
      <c r="R50" s="51">
        <v>0.833208</v>
      </c>
      <c r="S50" s="51">
        <v>0.354967</v>
      </c>
      <c r="T50" s="51">
        <v>0.991788</v>
      </c>
      <c r="U50" s="51">
        <v>0.956038</v>
      </c>
      <c r="V50" s="51">
        <v>0.975856</v>
      </c>
      <c r="W50" s="52">
        <v>0.895703</v>
      </c>
      <c r="X50" s="51">
        <v>33.75</v>
      </c>
      <c r="Y50" s="51">
        <v>9.5</v>
      </c>
      <c r="Z50" s="51">
        <v>0.1666666667</v>
      </c>
      <c r="AA50" s="51">
        <v>6.191076022</v>
      </c>
      <c r="AB50" s="51">
        <v>3.83402537485582</v>
      </c>
      <c r="AC50" s="34" t="s">
        <v>0</v>
      </c>
      <c r="AD50" s="34" t="s">
        <v>0</v>
      </c>
      <c r="AE50" s="34" t="s">
        <v>0</v>
      </c>
      <c r="AF50" s="34" t="s">
        <v>0</v>
      </c>
      <c r="AG50" s="34" t="s">
        <v>0</v>
      </c>
      <c r="AH50" s="34" t="s">
        <v>0</v>
      </c>
      <c r="AI50" s="34" t="s">
        <v>0</v>
      </c>
      <c r="AJ50" s="34" t="s">
        <v>0</v>
      </c>
      <c r="AK50" s="34" t="s">
        <v>0</v>
      </c>
    </row>
    <row r="51" spans="1:37">
      <c r="A51" s="27"/>
      <c r="B51" s="27"/>
      <c r="C51" s="22" t="s">
        <v>42</v>
      </c>
      <c r="D51" s="51">
        <v>0.9477512641</v>
      </c>
      <c r="E51" s="51">
        <v>0.8827506107</v>
      </c>
      <c r="F51" s="51">
        <v>0.03640894923</v>
      </c>
      <c r="G51" s="51">
        <v>0.06943764713</v>
      </c>
      <c r="H51" s="51">
        <v>0.8746111989</v>
      </c>
      <c r="I51" s="51">
        <v>1</v>
      </c>
      <c r="J51" s="51">
        <v>0.9294894827</v>
      </c>
      <c r="K51" s="51">
        <v>0.005155563148</v>
      </c>
      <c r="L51" s="51">
        <v>0.8746111989</v>
      </c>
      <c r="M51" s="51">
        <v>0.200409291</v>
      </c>
      <c r="N51" s="51">
        <v>0.3252741768</v>
      </c>
      <c r="O51" s="51">
        <v>0.8931083742</v>
      </c>
      <c r="P51" s="51">
        <v>0.954668984</v>
      </c>
      <c r="Q51" s="51">
        <v>0.9196816716</v>
      </c>
      <c r="R51" s="51">
        <v>0.849928</v>
      </c>
      <c r="S51" s="51">
        <v>0.404766</v>
      </c>
      <c r="T51" s="51">
        <v>0.992907</v>
      </c>
      <c r="U51" s="51">
        <v>0.959735</v>
      </c>
      <c r="V51" s="51">
        <v>0.979108</v>
      </c>
      <c r="W51" s="52">
        <v>0.904163</v>
      </c>
      <c r="X51" s="51">
        <v>27.77777778</v>
      </c>
      <c r="Y51" s="51">
        <v>36.13888889</v>
      </c>
      <c r="Z51" s="51">
        <v>0</v>
      </c>
      <c r="AA51" s="51">
        <v>2.818770514</v>
      </c>
      <c r="AB51" s="51">
        <v>7.61434405308831</v>
      </c>
      <c r="AC51" s="34" t="s">
        <v>0</v>
      </c>
      <c r="AD51" s="34" t="s">
        <v>0</v>
      </c>
      <c r="AE51" s="34" t="s">
        <v>0</v>
      </c>
      <c r="AF51" s="34" t="s">
        <v>0</v>
      </c>
      <c r="AG51" s="34" t="s">
        <v>0</v>
      </c>
      <c r="AH51" s="34" t="s">
        <v>0</v>
      </c>
      <c r="AI51" s="34" t="s">
        <v>0</v>
      </c>
      <c r="AJ51" s="34" t="s">
        <v>0</v>
      </c>
      <c r="AK51" s="34" t="s">
        <v>0</v>
      </c>
    </row>
    <row r="52" spans="1:37">
      <c r="A52" s="27"/>
      <c r="B52" s="27"/>
      <c r="C52" s="22" t="s">
        <v>43</v>
      </c>
      <c r="D52" s="51">
        <v>0.9810165883</v>
      </c>
      <c r="E52" s="51">
        <v>0.6683943457</v>
      </c>
      <c r="F52" s="51">
        <v>0.02293382182</v>
      </c>
      <c r="G52" s="51">
        <v>0.04404081324</v>
      </c>
      <c r="H52" s="51">
        <v>0.8407271625</v>
      </c>
      <c r="I52" s="51">
        <v>1</v>
      </c>
      <c r="J52" s="51">
        <v>0.9088994091</v>
      </c>
      <c r="K52" s="51">
        <v>0.006140471024</v>
      </c>
      <c r="L52" s="51">
        <v>0.8407271625</v>
      </c>
      <c r="M52" s="51">
        <v>0.2002534158</v>
      </c>
      <c r="N52" s="51">
        <v>0.3224286484</v>
      </c>
      <c r="O52" s="51">
        <v>0.686570407</v>
      </c>
      <c r="P52" s="51">
        <v>0.9792344583</v>
      </c>
      <c r="Q52" s="51">
        <v>0.7694243306</v>
      </c>
      <c r="R52" s="51">
        <v>0.809987</v>
      </c>
      <c r="S52" s="51">
        <v>0.309882</v>
      </c>
      <c r="T52" s="51">
        <v>0.990436</v>
      </c>
      <c r="U52" s="51">
        <v>0.953057</v>
      </c>
      <c r="V52" s="51">
        <v>0.972311</v>
      </c>
      <c r="W52" s="52">
        <v>0.887831</v>
      </c>
      <c r="X52" s="51">
        <v>32</v>
      </c>
      <c r="Y52" s="51">
        <v>23.75</v>
      </c>
      <c r="Z52" s="51">
        <v>0.1666666667</v>
      </c>
      <c r="AA52" s="51">
        <v>1.971436175</v>
      </c>
      <c r="AB52" s="51">
        <v>11.2936857562408</v>
      </c>
      <c r="AC52" s="34" t="s">
        <v>0</v>
      </c>
      <c r="AD52" s="34" t="s">
        <v>0</v>
      </c>
      <c r="AE52" s="34" t="s">
        <v>0</v>
      </c>
      <c r="AF52" s="34" t="s">
        <v>0</v>
      </c>
      <c r="AG52" s="34" t="s">
        <v>0</v>
      </c>
      <c r="AH52" s="34" t="s">
        <v>0</v>
      </c>
      <c r="AI52" s="34" t="s">
        <v>0</v>
      </c>
      <c r="AJ52" s="34" t="s">
        <v>0</v>
      </c>
      <c r="AK52" s="34" t="s">
        <v>0</v>
      </c>
    </row>
    <row r="53" spans="1:37">
      <c r="A53" s="27"/>
      <c r="B53" s="27"/>
      <c r="C53" s="22" t="s">
        <v>44</v>
      </c>
      <c r="D53" s="51">
        <v>0.8984779266</v>
      </c>
      <c r="E53" s="51">
        <v>0.8353220075</v>
      </c>
      <c r="F53" s="51">
        <v>0.09080445216</v>
      </c>
      <c r="G53" s="51">
        <v>0.1482538622</v>
      </c>
      <c r="H53" s="51">
        <v>0.8321448667</v>
      </c>
      <c r="I53" s="51">
        <v>0.9583333333</v>
      </c>
      <c r="J53" s="51">
        <v>0.8869860592</v>
      </c>
      <c r="K53" s="51">
        <v>0.006150977531</v>
      </c>
      <c r="L53" s="51">
        <v>0.8321107086</v>
      </c>
      <c r="M53" s="51">
        <v>0.1919352246</v>
      </c>
      <c r="N53" s="51">
        <v>0.311080869</v>
      </c>
      <c r="O53" s="51">
        <v>0.8785832605</v>
      </c>
      <c r="P53" s="51">
        <v>0.9275649815</v>
      </c>
      <c r="Q53" s="51">
        <v>0.9158159803</v>
      </c>
      <c r="R53" s="51">
        <v>0.84674</v>
      </c>
      <c r="S53" s="51">
        <v>0.411878</v>
      </c>
      <c r="T53" s="51">
        <v>0.99189</v>
      </c>
      <c r="U53" s="51">
        <v>0.957768</v>
      </c>
      <c r="V53" s="51">
        <v>0.976574</v>
      </c>
      <c r="W53" s="52">
        <v>0.901037</v>
      </c>
      <c r="X53" s="51">
        <v>34.20089286</v>
      </c>
      <c r="Y53" s="51">
        <v>39.69146825</v>
      </c>
      <c r="Z53" s="51">
        <v>0.1041666667</v>
      </c>
      <c r="AA53" s="51">
        <v>7.132617759</v>
      </c>
      <c r="AB53" s="51">
        <v>29.2957506667602</v>
      </c>
      <c r="AC53" s="34" t="s">
        <v>0</v>
      </c>
      <c r="AD53" s="34" t="s">
        <v>0</v>
      </c>
      <c r="AE53" s="34" t="s">
        <v>0</v>
      </c>
      <c r="AF53" s="34" t="s">
        <v>0</v>
      </c>
      <c r="AG53" s="34" t="s">
        <v>0</v>
      </c>
      <c r="AH53" s="34" t="s">
        <v>0</v>
      </c>
      <c r="AI53" s="34" t="s">
        <v>0</v>
      </c>
      <c r="AJ53" s="34" t="s">
        <v>0</v>
      </c>
      <c r="AK53" s="34" t="s">
        <v>0</v>
      </c>
    </row>
    <row r="54" spans="1:37">
      <c r="A54" s="27"/>
      <c r="B54" s="28"/>
      <c r="C54" s="22" t="s">
        <v>45</v>
      </c>
      <c r="D54" s="51">
        <v>0.9389692185</v>
      </c>
      <c r="E54" s="51">
        <v>0.8382611049</v>
      </c>
      <c r="F54" s="51">
        <v>0.07376666762</v>
      </c>
      <c r="G54" s="51">
        <v>0.1349758053</v>
      </c>
      <c r="H54" s="51">
        <v>0.7970403605</v>
      </c>
      <c r="I54" s="51">
        <v>1</v>
      </c>
      <c r="J54" s="51">
        <v>0.8822085776</v>
      </c>
      <c r="K54" s="51">
        <v>0.02226869784</v>
      </c>
      <c r="L54" s="51">
        <v>0.7970403605</v>
      </c>
      <c r="M54" s="51">
        <v>0.2004331492</v>
      </c>
      <c r="N54" s="51">
        <v>0.3191708097</v>
      </c>
      <c r="O54" s="51">
        <v>0.8498238239</v>
      </c>
      <c r="P54" s="51">
        <v>0.9882675108</v>
      </c>
      <c r="Q54" s="51">
        <v>0.9118483389</v>
      </c>
      <c r="R54" s="51">
        <v>0.834737</v>
      </c>
      <c r="S54" s="51">
        <v>0.352331</v>
      </c>
      <c r="T54" s="51">
        <v>0.991383</v>
      </c>
      <c r="U54" s="51">
        <v>0.953935</v>
      </c>
      <c r="V54" s="51">
        <v>0.97499</v>
      </c>
      <c r="W54" s="52">
        <v>0.890903</v>
      </c>
      <c r="X54" s="51">
        <v>31.29166667</v>
      </c>
      <c r="Y54" s="51">
        <v>14.69444444</v>
      </c>
      <c r="Z54" s="51">
        <v>0.1666666667</v>
      </c>
      <c r="AA54" s="51">
        <v>4.722079305</v>
      </c>
      <c r="AB54" s="51">
        <v>4.92681818181818</v>
      </c>
      <c r="AC54" s="34" t="s">
        <v>0</v>
      </c>
      <c r="AD54" s="34" t="s">
        <v>0</v>
      </c>
      <c r="AE54" s="34" t="s">
        <v>0</v>
      </c>
      <c r="AF54" s="34" t="s">
        <v>0</v>
      </c>
      <c r="AG54" s="34" t="s">
        <v>0</v>
      </c>
      <c r="AH54" s="34" t="s">
        <v>0</v>
      </c>
      <c r="AI54" s="34" t="s">
        <v>0</v>
      </c>
      <c r="AJ54" s="34" t="s">
        <v>0</v>
      </c>
      <c r="AK54" s="34" t="s">
        <v>0</v>
      </c>
    </row>
    <row r="55" spans="1:37">
      <c r="A55" s="27"/>
      <c r="B55" s="30" t="s">
        <v>46</v>
      </c>
      <c r="C55" s="22" t="s">
        <v>47</v>
      </c>
      <c r="D55" s="51">
        <v>0.9995860315</v>
      </c>
      <c r="E55" s="51">
        <v>0.7916666667</v>
      </c>
      <c r="F55" s="51">
        <v>0.000534845104</v>
      </c>
      <c r="G55" s="51">
        <v>0.001068789225</v>
      </c>
      <c r="H55" s="51">
        <v>0.7916666667</v>
      </c>
      <c r="I55" s="51">
        <v>0.8333333333</v>
      </c>
      <c r="J55" s="51">
        <v>0.8095238095</v>
      </c>
      <c r="K55" s="51">
        <v>0.0003113954119</v>
      </c>
      <c r="L55" s="51">
        <v>0.7916666667</v>
      </c>
      <c r="M55" s="51">
        <v>0.1667912564</v>
      </c>
      <c r="N55" s="51">
        <v>0.2750208263</v>
      </c>
      <c r="O55" s="51">
        <v>0.9501921646</v>
      </c>
      <c r="P55" s="51">
        <v>0.6918404451</v>
      </c>
      <c r="Q55" s="51">
        <v>0.8826316461</v>
      </c>
      <c r="R55" s="51">
        <v>0.875608</v>
      </c>
      <c r="S55" s="51">
        <v>0.470707</v>
      </c>
      <c r="T55" s="51">
        <v>0.994698</v>
      </c>
      <c r="U55" s="51">
        <v>0.966618</v>
      </c>
      <c r="V55" s="51">
        <v>0.984134</v>
      </c>
      <c r="W55" s="52">
        <v>0.920926</v>
      </c>
      <c r="X55" s="51"/>
      <c r="Y55" s="51">
        <v>166</v>
      </c>
      <c r="Z55" s="51">
        <v>0</v>
      </c>
      <c r="AA55" s="51">
        <v>0.05961146101</v>
      </c>
      <c r="AB55" s="51">
        <v>236.666666666667</v>
      </c>
      <c r="AC55" s="34" t="s">
        <v>0</v>
      </c>
      <c r="AD55" s="34" t="s">
        <v>0</v>
      </c>
      <c r="AE55" s="34" t="s">
        <v>0</v>
      </c>
      <c r="AF55" s="34" t="s">
        <v>0</v>
      </c>
      <c r="AG55" s="34" t="s">
        <v>0</v>
      </c>
      <c r="AH55" s="34" t="s">
        <v>0</v>
      </c>
      <c r="AI55" s="34" t="s">
        <v>0</v>
      </c>
      <c r="AJ55" s="34" t="s">
        <v>0</v>
      </c>
      <c r="AK55" s="34" t="s">
        <v>0</v>
      </c>
    </row>
    <row r="56" spans="1:37">
      <c r="A56" s="27"/>
      <c r="B56" s="27"/>
      <c r="C56" s="22" t="s">
        <v>48</v>
      </c>
      <c r="D56" s="51">
        <v>0.9987580946</v>
      </c>
      <c r="E56" s="51">
        <v>0.8383699634</v>
      </c>
      <c r="F56" s="51">
        <v>0.001425460782</v>
      </c>
      <c r="G56" s="51">
        <v>0.002846007844</v>
      </c>
      <c r="H56" s="51">
        <v>0.8383699634</v>
      </c>
      <c r="I56" s="51">
        <v>1</v>
      </c>
      <c r="J56" s="51">
        <v>0.9082184482</v>
      </c>
      <c r="K56" s="51">
        <v>0.0004270335305</v>
      </c>
      <c r="L56" s="51">
        <v>0.8383699634</v>
      </c>
      <c r="M56" s="51">
        <v>0.2001708699</v>
      </c>
      <c r="N56" s="51">
        <v>0.3222992999</v>
      </c>
      <c r="O56" s="51">
        <v>0.8508380279</v>
      </c>
      <c r="P56" s="51">
        <v>0.9357633064</v>
      </c>
      <c r="Q56" s="51">
        <v>0.8889784869</v>
      </c>
      <c r="R56" s="51">
        <v>0.859565</v>
      </c>
      <c r="S56" s="51">
        <v>0.475067</v>
      </c>
      <c r="T56" s="51">
        <v>0.992811</v>
      </c>
      <c r="U56" s="51">
        <v>0.963063</v>
      </c>
      <c r="V56" s="51">
        <v>0.979036</v>
      </c>
      <c r="W56" s="52">
        <v>0.913363</v>
      </c>
      <c r="X56" s="51">
        <v>40.29166667</v>
      </c>
      <c r="Y56" s="51">
        <v>54.44444444</v>
      </c>
      <c r="Z56" s="51">
        <v>0.1666666667</v>
      </c>
      <c r="AA56" s="51">
        <v>0.178834383</v>
      </c>
      <c r="AB56" s="51">
        <v>120.851851851852</v>
      </c>
      <c r="AC56" s="34" t="s">
        <v>0</v>
      </c>
      <c r="AD56" s="34" t="s">
        <v>0</v>
      </c>
      <c r="AE56" s="34" t="s">
        <v>0</v>
      </c>
      <c r="AF56" s="34" t="s">
        <v>0</v>
      </c>
      <c r="AG56" s="34" t="s">
        <v>0</v>
      </c>
      <c r="AH56" s="34" t="s">
        <v>0</v>
      </c>
      <c r="AI56" s="34" t="s">
        <v>0</v>
      </c>
      <c r="AJ56" s="34" t="s">
        <v>0</v>
      </c>
      <c r="AK56" s="34" t="s">
        <v>0</v>
      </c>
    </row>
    <row r="57" spans="1:37">
      <c r="A57" s="27"/>
      <c r="B57" s="27"/>
      <c r="C57" s="22" t="s">
        <v>49</v>
      </c>
      <c r="D57" s="51">
        <v>0.9992016322</v>
      </c>
      <c r="E57" s="51">
        <v>0.6333333333</v>
      </c>
      <c r="F57" s="51">
        <v>0.0004521705005</v>
      </c>
      <c r="G57" s="51">
        <v>0.0009034267871</v>
      </c>
      <c r="H57" s="51">
        <v>0.6333333333</v>
      </c>
      <c r="I57" s="51">
        <v>0.6666666667</v>
      </c>
      <c r="J57" s="51">
        <v>0.6481481481</v>
      </c>
      <c r="K57" s="51">
        <v>0.0002728268573</v>
      </c>
      <c r="L57" s="51">
        <v>0.6333333333</v>
      </c>
      <c r="M57" s="51">
        <v>0.1334424927</v>
      </c>
      <c r="N57" s="51">
        <v>0.2201470041</v>
      </c>
      <c r="O57" s="51">
        <v>0.9507376643</v>
      </c>
      <c r="P57" s="51">
        <v>0.5274652399</v>
      </c>
      <c r="Q57" s="51">
        <v>0.8589103845</v>
      </c>
      <c r="R57" s="51">
        <v>0.850407</v>
      </c>
      <c r="S57" s="51">
        <v>0.387861</v>
      </c>
      <c r="T57" s="51">
        <v>0.992979</v>
      </c>
      <c r="U57" s="51">
        <v>0.959947</v>
      </c>
      <c r="V57" s="51">
        <v>0.979184</v>
      </c>
      <c r="W57" s="52">
        <v>0.904541</v>
      </c>
      <c r="X57" s="51"/>
      <c r="Y57" s="51">
        <v>159.0833333</v>
      </c>
      <c r="Z57" s="51">
        <v>0</v>
      </c>
      <c r="AA57" s="51">
        <v>0.1149649605</v>
      </c>
      <c r="AB57" s="51">
        <v>149.083333333333</v>
      </c>
      <c r="AC57" s="34" t="s">
        <v>0</v>
      </c>
      <c r="AD57" s="34" t="s">
        <v>0</v>
      </c>
      <c r="AE57" s="34" t="s">
        <v>0</v>
      </c>
      <c r="AF57" s="34" t="s">
        <v>0</v>
      </c>
      <c r="AG57" s="34" t="s">
        <v>0</v>
      </c>
      <c r="AH57" s="34" t="s">
        <v>0</v>
      </c>
      <c r="AI57" s="34" t="s">
        <v>0</v>
      </c>
      <c r="AJ57" s="34" t="s">
        <v>0</v>
      </c>
      <c r="AK57" s="34" t="s">
        <v>0</v>
      </c>
    </row>
    <row r="58" spans="1:37">
      <c r="A58" s="27"/>
      <c r="B58" s="27"/>
      <c r="C58" s="22" t="s">
        <v>50</v>
      </c>
      <c r="D58" s="51">
        <v>0.925692658</v>
      </c>
      <c r="E58" s="51">
        <v>0.8839494058</v>
      </c>
      <c r="F58" s="51">
        <v>0.07384439179</v>
      </c>
      <c r="G58" s="51">
        <v>0.1246319708</v>
      </c>
      <c r="H58" s="51">
        <v>0.8778644821</v>
      </c>
      <c r="I58" s="51">
        <v>1</v>
      </c>
      <c r="J58" s="51">
        <v>0.9323182823</v>
      </c>
      <c r="K58" s="51">
        <v>0.01929756078</v>
      </c>
      <c r="L58" s="51">
        <v>0.8767298697</v>
      </c>
      <c r="M58" s="51">
        <v>0.2008982766</v>
      </c>
      <c r="N58" s="51">
        <v>0.3262911889</v>
      </c>
      <c r="O58" s="51">
        <v>0.8974970786</v>
      </c>
      <c r="P58" s="51">
        <v>0.9763631468</v>
      </c>
      <c r="Q58" s="51">
        <v>0.9320781172</v>
      </c>
      <c r="R58" s="51">
        <v>0.873082</v>
      </c>
      <c r="S58" s="51">
        <v>0.532855</v>
      </c>
      <c r="T58" s="51">
        <v>0.996279</v>
      </c>
      <c r="U58" s="51">
        <v>0.968839</v>
      </c>
      <c r="V58" s="51">
        <v>0.98853</v>
      </c>
      <c r="W58" s="52">
        <v>0.929092</v>
      </c>
      <c r="X58" s="51">
        <v>33.61755952</v>
      </c>
      <c r="Y58" s="51">
        <v>24.33680556</v>
      </c>
      <c r="Z58" s="51">
        <v>0.1458333333</v>
      </c>
      <c r="AA58" s="51">
        <v>1.651556817</v>
      </c>
      <c r="AB58" s="51">
        <v>21.4559353838205</v>
      </c>
      <c r="AC58" s="34" t="s">
        <v>0</v>
      </c>
      <c r="AD58" s="34" t="s">
        <v>0</v>
      </c>
      <c r="AE58" s="34" t="s">
        <v>0</v>
      </c>
      <c r="AF58" s="34" t="s">
        <v>0</v>
      </c>
      <c r="AG58" s="34" t="s">
        <v>0</v>
      </c>
      <c r="AH58" s="34" t="s">
        <v>0</v>
      </c>
      <c r="AI58" s="34" t="s">
        <v>0</v>
      </c>
      <c r="AJ58" s="34" t="s">
        <v>0</v>
      </c>
      <c r="AK58" s="34" t="s">
        <v>0</v>
      </c>
    </row>
    <row r="59" spans="1:37">
      <c r="A59" s="27"/>
      <c r="B59" s="27"/>
      <c r="C59" s="22" t="s">
        <v>51</v>
      </c>
      <c r="D59" s="51">
        <v>0.9047281114</v>
      </c>
      <c r="E59" s="51">
        <v>0.8404173585</v>
      </c>
      <c r="F59" s="51">
        <v>0.08887519388</v>
      </c>
      <c r="G59" s="51">
        <v>0.1466399656</v>
      </c>
      <c r="H59" s="51">
        <v>0.8275392363</v>
      </c>
      <c r="I59" s="51">
        <v>0.9375</v>
      </c>
      <c r="J59" s="51">
        <v>0.8760656298</v>
      </c>
      <c r="K59" s="51">
        <v>0.01255186628</v>
      </c>
      <c r="L59" s="51">
        <v>0.8275392363</v>
      </c>
      <c r="M59" s="51">
        <v>0.187856313</v>
      </c>
      <c r="N59" s="51">
        <v>0.3055425238</v>
      </c>
      <c r="O59" s="51">
        <v>0.9040991397</v>
      </c>
      <c r="P59" s="51">
        <v>0.894494704</v>
      </c>
      <c r="Q59" s="51">
        <v>0.9223511682</v>
      </c>
      <c r="R59" s="51">
        <v>0.870541</v>
      </c>
      <c r="S59" s="51">
        <v>0.509959</v>
      </c>
      <c r="T59" s="51">
        <v>0.993245</v>
      </c>
      <c r="U59" s="51">
        <v>0.964563</v>
      </c>
      <c r="V59" s="51">
        <v>0.980443</v>
      </c>
      <c r="W59" s="52">
        <v>0.917677</v>
      </c>
      <c r="X59" s="51">
        <v>32.29166667</v>
      </c>
      <c r="Y59" s="51">
        <v>62.02628968</v>
      </c>
      <c r="Z59" s="51">
        <v>0.1041666667</v>
      </c>
      <c r="AA59" s="51">
        <v>4.709837665</v>
      </c>
      <c r="AB59" s="51">
        <v>22.0878058990889</v>
      </c>
      <c r="AC59" s="34" t="s">
        <v>0</v>
      </c>
      <c r="AD59" s="34" t="s">
        <v>0</v>
      </c>
      <c r="AE59" s="34" t="s">
        <v>0</v>
      </c>
      <c r="AF59" s="34" t="s">
        <v>0</v>
      </c>
      <c r="AG59" s="34" t="s">
        <v>0</v>
      </c>
      <c r="AH59" s="34" t="s">
        <v>0</v>
      </c>
      <c r="AI59" s="34" t="s">
        <v>0</v>
      </c>
      <c r="AJ59" s="34" t="s">
        <v>0</v>
      </c>
      <c r="AK59" s="34" t="s">
        <v>0</v>
      </c>
    </row>
    <row r="60" spans="1:37">
      <c r="A60" s="27"/>
      <c r="B60" s="27"/>
      <c r="C60" s="22" t="s">
        <v>52</v>
      </c>
      <c r="D60" s="51">
        <v>0.9186367131</v>
      </c>
      <c r="E60" s="51">
        <v>0.8818614949</v>
      </c>
      <c r="F60" s="51">
        <v>0.07984264518</v>
      </c>
      <c r="G60" s="51">
        <v>0.1332909335</v>
      </c>
      <c r="H60" s="51">
        <v>0.8917925388</v>
      </c>
      <c r="I60" s="51">
        <v>1</v>
      </c>
      <c r="J60" s="51">
        <v>0.9409330227</v>
      </c>
      <c r="K60" s="51">
        <v>0.003602277003</v>
      </c>
      <c r="L60" s="51">
        <v>0.8917183752</v>
      </c>
      <c r="M60" s="51">
        <v>0.2003512052</v>
      </c>
      <c r="N60" s="51">
        <v>0.3267877806</v>
      </c>
      <c r="O60" s="51">
        <v>0.8942106848</v>
      </c>
      <c r="P60" s="51">
        <v>0.9696042494</v>
      </c>
      <c r="Q60" s="51">
        <v>0.927331649</v>
      </c>
      <c r="R60" s="51">
        <v>0.865575</v>
      </c>
      <c r="S60" s="51">
        <v>0.478939</v>
      </c>
      <c r="T60" s="51">
        <v>0.993745</v>
      </c>
      <c r="U60" s="51">
        <v>0.964144</v>
      </c>
      <c r="V60" s="51">
        <v>0.981395</v>
      </c>
      <c r="W60" s="52">
        <v>0.915782</v>
      </c>
      <c r="X60" s="51">
        <v>38.99553571</v>
      </c>
      <c r="Y60" s="51">
        <v>23.14236111</v>
      </c>
      <c r="Z60" s="51">
        <v>0.2916666667</v>
      </c>
      <c r="AA60" s="51">
        <v>3.732635501</v>
      </c>
      <c r="AB60" s="51">
        <v>29.7166290587866</v>
      </c>
      <c r="AC60" s="34" t="s">
        <v>0</v>
      </c>
      <c r="AD60" s="34" t="s">
        <v>0</v>
      </c>
      <c r="AE60" s="34" t="s">
        <v>0</v>
      </c>
      <c r="AF60" s="34" t="s">
        <v>0</v>
      </c>
      <c r="AG60" s="34" t="s">
        <v>0</v>
      </c>
      <c r="AH60" s="34" t="s">
        <v>0</v>
      </c>
      <c r="AI60" s="34" t="s">
        <v>0</v>
      </c>
      <c r="AJ60" s="34" t="s">
        <v>0</v>
      </c>
      <c r="AK60" s="34" t="s">
        <v>0</v>
      </c>
    </row>
    <row r="61" spans="1:37">
      <c r="A61" s="27"/>
      <c r="B61" s="27"/>
      <c r="C61" s="22" t="s">
        <v>53</v>
      </c>
      <c r="D61" s="51">
        <v>0.9139573908</v>
      </c>
      <c r="E61" s="51">
        <v>0.8352299229</v>
      </c>
      <c r="F61" s="51">
        <v>0.09376840112</v>
      </c>
      <c r="G61" s="51">
        <v>0.1531705988</v>
      </c>
      <c r="H61" s="51">
        <v>0.8286242356</v>
      </c>
      <c r="I61" s="51">
        <v>0.9375</v>
      </c>
      <c r="J61" s="51">
        <v>0.8767240061</v>
      </c>
      <c r="K61" s="51">
        <v>0.01625532551</v>
      </c>
      <c r="L61" s="51">
        <v>0.8285268187</v>
      </c>
      <c r="M61" s="51">
        <v>0.1879600621</v>
      </c>
      <c r="N61" s="51">
        <v>0.3057625505</v>
      </c>
      <c r="O61" s="51">
        <v>0.9003723953</v>
      </c>
      <c r="P61" s="51">
        <v>0.8950576053</v>
      </c>
      <c r="Q61" s="51">
        <v>0.9199755329</v>
      </c>
      <c r="R61" s="51">
        <v>0.874826</v>
      </c>
      <c r="S61" s="51">
        <v>0.537052</v>
      </c>
      <c r="T61" s="51">
        <v>0.993985</v>
      </c>
      <c r="U61" s="51">
        <v>0.967698</v>
      </c>
      <c r="V61" s="51">
        <v>0.982272</v>
      </c>
      <c r="W61" s="52">
        <v>0.924687</v>
      </c>
      <c r="X61" s="51">
        <v>31.55456349</v>
      </c>
      <c r="Y61" s="51">
        <v>62.31200397</v>
      </c>
      <c r="Z61" s="51">
        <v>0.1041666667</v>
      </c>
      <c r="AA61" s="51">
        <v>4.133948372</v>
      </c>
      <c r="AB61" s="51">
        <v>71.3763828130708</v>
      </c>
      <c r="AC61" s="34" t="s">
        <v>0</v>
      </c>
      <c r="AD61" s="34" t="s">
        <v>0</v>
      </c>
      <c r="AE61" s="34" t="s">
        <v>0</v>
      </c>
      <c r="AF61" s="34" t="s">
        <v>0</v>
      </c>
      <c r="AG61" s="34" t="s">
        <v>0</v>
      </c>
      <c r="AH61" s="34" t="s">
        <v>0</v>
      </c>
      <c r="AI61" s="34" t="s">
        <v>0</v>
      </c>
      <c r="AJ61" s="34" t="s">
        <v>0</v>
      </c>
      <c r="AK61" s="34" t="s">
        <v>0</v>
      </c>
    </row>
    <row r="62" spans="1:37">
      <c r="A62" s="27"/>
      <c r="B62" s="27"/>
      <c r="C62" s="22" t="s">
        <v>54</v>
      </c>
      <c r="D62" s="51">
        <v>0.9995268932</v>
      </c>
      <c r="E62" s="51">
        <v>0.7166666667</v>
      </c>
      <c r="F62" s="51">
        <v>0.0005253778315</v>
      </c>
      <c r="G62" s="51">
        <v>0.001049839931</v>
      </c>
      <c r="H62" s="51">
        <v>0.7166666667</v>
      </c>
      <c r="I62" s="51">
        <v>1</v>
      </c>
      <c r="J62" s="51">
        <v>0.8171957672</v>
      </c>
      <c r="K62" s="51">
        <v>0.0004269667795</v>
      </c>
      <c r="L62" s="51">
        <v>0.7166666667</v>
      </c>
      <c r="M62" s="51">
        <v>0.2001708699</v>
      </c>
      <c r="N62" s="51">
        <v>0.3072948768</v>
      </c>
      <c r="O62" s="51">
        <v>0.7421561855</v>
      </c>
      <c r="P62" s="51">
        <v>0.7949461627</v>
      </c>
      <c r="Q62" s="51">
        <v>0.7585933553</v>
      </c>
      <c r="R62" s="51">
        <v>0.812885</v>
      </c>
      <c r="S62" s="51">
        <v>0.368755</v>
      </c>
      <c r="T62" s="51">
        <v>0.990746</v>
      </c>
      <c r="U62" s="51">
        <v>0.955919</v>
      </c>
      <c r="V62" s="51">
        <v>0.97292</v>
      </c>
      <c r="W62" s="52">
        <v>0.894884</v>
      </c>
      <c r="X62" s="51">
        <v>42</v>
      </c>
      <c r="Y62" s="51">
        <v>215.25</v>
      </c>
      <c r="Z62" s="51">
        <v>0.3333333333</v>
      </c>
      <c r="AA62" s="51">
        <v>0.06812738401</v>
      </c>
      <c r="AB62" s="51">
        <v>191.444444444445</v>
      </c>
      <c r="AC62" s="34" t="s">
        <v>0</v>
      </c>
      <c r="AD62" s="34" t="s">
        <v>0</v>
      </c>
      <c r="AE62" s="34" t="s">
        <v>0</v>
      </c>
      <c r="AF62" s="34" t="s">
        <v>0</v>
      </c>
      <c r="AG62" s="34" t="s">
        <v>0</v>
      </c>
      <c r="AH62" s="34" t="s">
        <v>0</v>
      </c>
      <c r="AI62" s="34" t="s">
        <v>0</v>
      </c>
      <c r="AJ62" s="34" t="s">
        <v>0</v>
      </c>
      <c r="AK62" s="34" t="s">
        <v>0</v>
      </c>
    </row>
    <row r="63" spans="1:37">
      <c r="A63" s="27"/>
      <c r="B63" s="27"/>
      <c r="C63" s="22" t="s">
        <v>55</v>
      </c>
      <c r="D63" s="51">
        <v>0.8878699843</v>
      </c>
      <c r="E63" s="51">
        <v>0.8802150198</v>
      </c>
      <c r="F63" s="51">
        <v>0.1015881531</v>
      </c>
      <c r="G63" s="51">
        <v>0.1650617166</v>
      </c>
      <c r="H63" s="51">
        <v>0.8625162238</v>
      </c>
      <c r="I63" s="51">
        <v>0.9791666667</v>
      </c>
      <c r="J63" s="51">
        <v>0.9138164351</v>
      </c>
      <c r="K63" s="51">
        <v>0.01640357885</v>
      </c>
      <c r="L63" s="51">
        <v>0.8624596647</v>
      </c>
      <c r="M63" s="51">
        <v>0.1962397401</v>
      </c>
      <c r="N63" s="51">
        <v>0.3190018291</v>
      </c>
      <c r="O63" s="51">
        <v>0.9067111645</v>
      </c>
      <c r="P63" s="51">
        <v>0.9318200785</v>
      </c>
      <c r="Q63" s="51">
        <v>0.921762728</v>
      </c>
      <c r="R63" s="51">
        <v>0.861118</v>
      </c>
      <c r="S63" s="51">
        <v>0.455906</v>
      </c>
      <c r="T63" s="51">
        <v>0.993104</v>
      </c>
      <c r="U63" s="51">
        <v>0.961631</v>
      </c>
      <c r="V63" s="51">
        <v>0.97973</v>
      </c>
      <c r="W63" s="52">
        <v>0.909655</v>
      </c>
      <c r="X63" s="51">
        <v>34.47222222</v>
      </c>
      <c r="Y63" s="51">
        <v>62.58928571</v>
      </c>
      <c r="Z63" s="51">
        <v>0.1041666667</v>
      </c>
      <c r="AA63" s="51">
        <v>5.835003992</v>
      </c>
      <c r="AB63" s="51">
        <v>14.7234143732872</v>
      </c>
      <c r="AC63" s="34" t="s">
        <v>0</v>
      </c>
      <c r="AD63" s="34" t="s">
        <v>0</v>
      </c>
      <c r="AE63" s="34" t="s">
        <v>0</v>
      </c>
      <c r="AF63" s="34" t="s">
        <v>0</v>
      </c>
      <c r="AG63" s="34" t="s">
        <v>0</v>
      </c>
      <c r="AH63" s="34" t="s">
        <v>0</v>
      </c>
      <c r="AI63" s="34" t="s">
        <v>0</v>
      </c>
      <c r="AJ63" s="34" t="s">
        <v>0</v>
      </c>
      <c r="AK63" s="34" t="s">
        <v>0</v>
      </c>
    </row>
    <row r="64" spans="1:37">
      <c r="A64" s="27"/>
      <c r="B64" s="27"/>
      <c r="C64" s="22" t="s">
        <v>56</v>
      </c>
      <c r="D64" s="51">
        <v>0.990881605</v>
      </c>
      <c r="E64" s="51">
        <v>0.7734994382</v>
      </c>
      <c r="F64" s="51">
        <v>0.01175899101</v>
      </c>
      <c r="G64" s="51">
        <v>0.0228588217</v>
      </c>
      <c r="H64" s="51">
        <v>0.8068032621</v>
      </c>
      <c r="I64" s="51">
        <v>0.9375</v>
      </c>
      <c r="J64" s="51">
        <v>0.860780388</v>
      </c>
      <c r="K64" s="51">
        <v>0.004142417939</v>
      </c>
      <c r="L64" s="51">
        <v>0.8068032621</v>
      </c>
      <c r="M64" s="51">
        <v>0.187747675</v>
      </c>
      <c r="N64" s="51">
        <v>0.3030825352</v>
      </c>
      <c r="O64" s="51">
        <v>0.8334606168</v>
      </c>
      <c r="P64" s="51">
        <v>0.8563149494</v>
      </c>
      <c r="Q64" s="51">
        <v>0.8541674826</v>
      </c>
      <c r="R64" s="51">
        <v>0.838815</v>
      </c>
      <c r="S64" s="51">
        <v>0.377577</v>
      </c>
      <c r="T64" s="51">
        <v>0.992358</v>
      </c>
      <c r="U64" s="51">
        <v>0.958112</v>
      </c>
      <c r="V64" s="51">
        <v>0.977486</v>
      </c>
      <c r="W64" s="52">
        <v>0.89955</v>
      </c>
      <c r="X64" s="51">
        <v>36.07380952</v>
      </c>
      <c r="Y64" s="51">
        <v>80.39037698</v>
      </c>
      <c r="Z64" s="51">
        <v>0.1458333333</v>
      </c>
      <c r="AA64" s="51">
        <v>0.987314823</v>
      </c>
      <c r="AB64" s="51">
        <v>48.9532485431106</v>
      </c>
      <c r="AC64" s="34" t="s">
        <v>0</v>
      </c>
      <c r="AD64" s="34" t="s">
        <v>0</v>
      </c>
      <c r="AE64" s="34" t="s">
        <v>0</v>
      </c>
      <c r="AF64" s="34" t="s">
        <v>0</v>
      </c>
      <c r="AG64" s="34" t="s">
        <v>0</v>
      </c>
      <c r="AH64" s="34" t="s">
        <v>0</v>
      </c>
      <c r="AI64" s="34" t="s">
        <v>0</v>
      </c>
      <c r="AJ64" s="34" t="s">
        <v>0</v>
      </c>
      <c r="AK64" s="34" t="s">
        <v>0</v>
      </c>
    </row>
    <row r="65" spans="1:37">
      <c r="A65" s="27"/>
      <c r="B65" s="27"/>
      <c r="C65" s="22" t="s">
        <v>57</v>
      </c>
      <c r="D65" s="51">
        <v>0.9909222626</v>
      </c>
      <c r="E65" s="51">
        <v>0.9390012642</v>
      </c>
      <c r="F65" s="51">
        <v>0.005375689576</v>
      </c>
      <c r="G65" s="51">
        <v>0.01066086273</v>
      </c>
      <c r="H65" s="51">
        <v>0.9462962963</v>
      </c>
      <c r="I65" s="51">
        <v>1</v>
      </c>
      <c r="J65" s="51">
        <v>0.9703947368</v>
      </c>
      <c r="K65" s="51">
        <v>0.0046112881</v>
      </c>
      <c r="L65" s="51">
        <v>0.9462962963</v>
      </c>
      <c r="M65" s="51">
        <v>0.2003916987</v>
      </c>
      <c r="N65" s="51">
        <v>0.3303253889</v>
      </c>
      <c r="O65" s="51">
        <v>0.9451385851</v>
      </c>
      <c r="P65" s="51">
        <v>0.8446987171</v>
      </c>
      <c r="Q65" s="51">
        <v>0.8807440416</v>
      </c>
      <c r="R65" s="51">
        <v>0.884599</v>
      </c>
      <c r="S65" s="51">
        <v>0.560529</v>
      </c>
      <c r="T65" s="51">
        <v>0.994298</v>
      </c>
      <c r="U65" s="51">
        <v>0.968972</v>
      </c>
      <c r="V65" s="51">
        <v>0.983214</v>
      </c>
      <c r="W65" s="52">
        <v>0.927568</v>
      </c>
      <c r="X65" s="51">
        <v>39.33333333</v>
      </c>
      <c r="Y65" s="51">
        <v>107.8888889</v>
      </c>
      <c r="Z65" s="51">
        <v>0</v>
      </c>
      <c r="AA65" s="51">
        <v>0.5918566486</v>
      </c>
      <c r="AB65" s="51">
        <v>30.3128205128205</v>
      </c>
      <c r="AC65" s="34" t="s">
        <v>0</v>
      </c>
      <c r="AD65" s="34" t="s">
        <v>0</v>
      </c>
      <c r="AE65" s="34" t="s">
        <v>0</v>
      </c>
      <c r="AF65" s="34" t="s">
        <v>0</v>
      </c>
      <c r="AG65" s="34" t="s">
        <v>0</v>
      </c>
      <c r="AH65" s="34" t="s">
        <v>0</v>
      </c>
      <c r="AI65" s="34" t="s">
        <v>0</v>
      </c>
      <c r="AJ65" s="34" t="s">
        <v>0</v>
      </c>
      <c r="AK65" s="34" t="s">
        <v>0</v>
      </c>
    </row>
    <row r="66" spans="1:37">
      <c r="A66" s="27"/>
      <c r="B66" s="27"/>
      <c r="C66" s="22" t="s">
        <v>58</v>
      </c>
      <c r="D66" s="51">
        <v>0.9235156273</v>
      </c>
      <c r="E66" s="51">
        <v>0.8222068921</v>
      </c>
      <c r="F66" s="51">
        <v>0.08181608233</v>
      </c>
      <c r="G66" s="51">
        <v>0.1377190839</v>
      </c>
      <c r="H66" s="51">
        <v>0.8102889029</v>
      </c>
      <c r="I66" s="51">
        <v>0.8958333333</v>
      </c>
      <c r="J66" s="51">
        <v>0.84743356</v>
      </c>
      <c r="K66" s="51">
        <v>0.01878804349</v>
      </c>
      <c r="L66" s="51">
        <v>0.8099602847</v>
      </c>
      <c r="M66" s="51">
        <v>0.1801609961</v>
      </c>
      <c r="N66" s="51">
        <v>0.293960005</v>
      </c>
      <c r="O66" s="51">
        <v>0.9242011038</v>
      </c>
      <c r="P66" s="51">
        <v>0.8231618361</v>
      </c>
      <c r="Q66" s="51">
        <v>0.9131576657</v>
      </c>
      <c r="R66" s="51">
        <v>0.859599</v>
      </c>
      <c r="S66" s="51">
        <v>0.396788</v>
      </c>
      <c r="T66" s="51">
        <v>0.993135</v>
      </c>
      <c r="U66" s="51">
        <v>0.957988</v>
      </c>
      <c r="V66" s="51">
        <v>0.979795</v>
      </c>
      <c r="W66" s="52">
        <v>0.900496</v>
      </c>
      <c r="X66" s="51">
        <v>21.85277778</v>
      </c>
      <c r="Y66" s="51">
        <v>112.6178902</v>
      </c>
      <c r="Z66" s="51">
        <v>0.0625</v>
      </c>
      <c r="AA66" s="51">
        <v>1.678169077</v>
      </c>
      <c r="AB66" s="51">
        <v>48.4061417932933</v>
      </c>
      <c r="AC66" s="34" t="s">
        <v>0</v>
      </c>
      <c r="AD66" s="34" t="s">
        <v>0</v>
      </c>
      <c r="AE66" s="34" t="s">
        <v>0</v>
      </c>
      <c r="AF66" s="34" t="s">
        <v>0</v>
      </c>
      <c r="AG66" s="34" t="s">
        <v>0</v>
      </c>
      <c r="AH66" s="34" t="s">
        <v>0</v>
      </c>
      <c r="AI66" s="34" t="s">
        <v>0</v>
      </c>
      <c r="AJ66" s="34" t="s">
        <v>0</v>
      </c>
      <c r="AK66" s="34" t="s">
        <v>0</v>
      </c>
    </row>
    <row r="67" spans="1:37">
      <c r="A67" s="27"/>
      <c r="B67" s="27"/>
      <c r="C67" s="22" t="s">
        <v>59</v>
      </c>
      <c r="D67" s="51">
        <v>0.9211020432</v>
      </c>
      <c r="E67" s="51">
        <v>0.6016844721</v>
      </c>
      <c r="F67" s="51">
        <v>0.08223946769</v>
      </c>
      <c r="G67" s="51">
        <v>0.1285280229</v>
      </c>
      <c r="H67" s="51">
        <v>0.6620858661</v>
      </c>
      <c r="I67" s="51">
        <v>0.7708333333</v>
      </c>
      <c r="J67" s="51">
        <v>0.7045761497</v>
      </c>
      <c r="K67" s="51">
        <v>0.04102927059</v>
      </c>
      <c r="L67" s="51">
        <v>0.6529314547</v>
      </c>
      <c r="M67" s="51">
        <v>0.1581127291</v>
      </c>
      <c r="N67" s="51">
        <v>0.2522154256</v>
      </c>
      <c r="O67" s="51">
        <v>0.7324272919</v>
      </c>
      <c r="P67" s="51">
        <v>0.6849715123</v>
      </c>
      <c r="Q67" s="51">
        <v>0.723266943</v>
      </c>
      <c r="R67" s="51">
        <v>0.835593</v>
      </c>
      <c r="S67" s="51">
        <v>0.378434</v>
      </c>
      <c r="T67" s="51">
        <v>0.99234</v>
      </c>
      <c r="U67" s="51">
        <v>0.961115</v>
      </c>
      <c r="V67" s="51">
        <v>0.97763</v>
      </c>
      <c r="W67" s="52">
        <v>0.905744</v>
      </c>
      <c r="X67" s="51">
        <v>32.22222222</v>
      </c>
      <c r="Y67" s="51">
        <v>118.8382937</v>
      </c>
      <c r="Z67" s="51">
        <v>0.1875</v>
      </c>
      <c r="AA67" s="51">
        <v>0.2352523729</v>
      </c>
      <c r="AB67" s="51">
        <v>250.133051927911</v>
      </c>
      <c r="AC67" s="34" t="s">
        <v>0</v>
      </c>
      <c r="AD67" s="34" t="s">
        <v>0</v>
      </c>
      <c r="AE67" s="34" t="s">
        <v>0</v>
      </c>
      <c r="AF67" s="34" t="s">
        <v>0</v>
      </c>
      <c r="AG67" s="34" t="s">
        <v>0</v>
      </c>
      <c r="AH67" s="34" t="s">
        <v>0</v>
      </c>
      <c r="AI67" s="34" t="s">
        <v>0</v>
      </c>
      <c r="AJ67" s="34" t="s">
        <v>0</v>
      </c>
      <c r="AK67" s="34" t="s">
        <v>0</v>
      </c>
    </row>
    <row r="68" spans="1:37">
      <c r="A68" s="27"/>
      <c r="B68" s="27"/>
      <c r="C68" s="22" t="s">
        <v>60</v>
      </c>
      <c r="D68" s="51">
        <v>0.9132994766</v>
      </c>
      <c r="E68" s="51">
        <v>0.8619377794</v>
      </c>
      <c r="F68" s="51">
        <v>0.1232390322</v>
      </c>
      <c r="G68" s="51">
        <v>0.1858634584</v>
      </c>
      <c r="H68" s="51">
        <v>0.8541052336</v>
      </c>
      <c r="I68" s="51">
        <v>0.9791666667</v>
      </c>
      <c r="J68" s="51">
        <v>0.9075761464</v>
      </c>
      <c r="K68" s="51">
        <v>0.01683401456</v>
      </c>
      <c r="L68" s="51">
        <v>0.854104658</v>
      </c>
      <c r="M68" s="51">
        <v>0.1962307447</v>
      </c>
      <c r="N68" s="51">
        <v>0.3180329569</v>
      </c>
      <c r="O68" s="51">
        <v>0.8765348934</v>
      </c>
      <c r="P68" s="51">
        <v>0.9478091853</v>
      </c>
      <c r="Q68" s="51">
        <v>0.9064030933</v>
      </c>
      <c r="R68" s="51">
        <v>0.877354</v>
      </c>
      <c r="S68" s="51">
        <v>0.510949</v>
      </c>
      <c r="T68" s="51">
        <v>0.99408</v>
      </c>
      <c r="U68" s="51">
        <v>0.967134</v>
      </c>
      <c r="V68" s="51">
        <v>0.982602</v>
      </c>
      <c r="W68" s="52">
        <v>0.923017</v>
      </c>
      <c r="X68" s="51">
        <v>19.875</v>
      </c>
      <c r="Y68" s="51">
        <v>49.74801587</v>
      </c>
      <c r="Z68" s="51">
        <v>0.02083333333</v>
      </c>
      <c r="AA68" s="51">
        <v>4.687483367</v>
      </c>
      <c r="AB68" s="51">
        <v>20.9027377010928</v>
      </c>
      <c r="AC68" s="34" t="s">
        <v>0</v>
      </c>
      <c r="AD68" s="34" t="s">
        <v>0</v>
      </c>
      <c r="AE68" s="34" t="s">
        <v>0</v>
      </c>
      <c r="AF68" s="34" t="s">
        <v>0</v>
      </c>
      <c r="AG68" s="34" t="s">
        <v>0</v>
      </c>
      <c r="AH68" s="34" t="s">
        <v>0</v>
      </c>
      <c r="AI68" s="34" t="s">
        <v>0</v>
      </c>
      <c r="AJ68" s="34" t="s">
        <v>0</v>
      </c>
      <c r="AK68" s="34" t="s">
        <v>0</v>
      </c>
    </row>
    <row r="69" spans="1:37">
      <c r="A69" s="27"/>
      <c r="B69" s="27"/>
      <c r="C69" s="22" t="s">
        <v>61</v>
      </c>
      <c r="D69" s="51">
        <v>0.9279473077</v>
      </c>
      <c r="E69" s="51">
        <v>0.3139008164</v>
      </c>
      <c r="F69" s="51">
        <v>0.0564330695</v>
      </c>
      <c r="G69" s="51">
        <v>0.08816443014</v>
      </c>
      <c r="H69" s="51">
        <v>0.3915088384</v>
      </c>
      <c r="I69" s="51">
        <v>0.5</v>
      </c>
      <c r="J69" s="51">
        <v>0.4307344699</v>
      </c>
      <c r="K69" s="51">
        <v>0.02780894362</v>
      </c>
      <c r="L69" s="51">
        <v>0.3867613778</v>
      </c>
      <c r="M69" s="51">
        <v>0.1057162727</v>
      </c>
      <c r="N69" s="51">
        <v>0.1636384261</v>
      </c>
      <c r="O69" s="51">
        <v>0.5572417951</v>
      </c>
      <c r="P69" s="51">
        <v>0.4260851473</v>
      </c>
      <c r="Q69" s="51">
        <v>0.6057444343</v>
      </c>
      <c r="R69" s="51">
        <v>0.775406</v>
      </c>
      <c r="S69" s="51">
        <v>0.247059</v>
      </c>
      <c r="T69" s="51">
        <v>0.986871</v>
      </c>
      <c r="U69" s="51">
        <v>0.948314</v>
      </c>
      <c r="V69" s="51">
        <v>0.964231</v>
      </c>
      <c r="W69" s="52">
        <v>0.876194</v>
      </c>
      <c r="X69" s="51">
        <v>37.63095238</v>
      </c>
      <c r="Y69" s="51">
        <v>244.7881944</v>
      </c>
      <c r="Z69" s="51">
        <v>0.1458333333</v>
      </c>
      <c r="AA69" s="51">
        <v>0.1027233212</v>
      </c>
      <c r="AB69" s="51">
        <v>166.263282828283</v>
      </c>
      <c r="AC69" s="34" t="s">
        <v>0</v>
      </c>
      <c r="AD69" s="34" t="s">
        <v>0</v>
      </c>
      <c r="AE69" s="34" t="s">
        <v>0</v>
      </c>
      <c r="AF69" s="34" t="s">
        <v>0</v>
      </c>
      <c r="AG69" s="34" t="s">
        <v>0</v>
      </c>
      <c r="AH69" s="34" t="s">
        <v>0</v>
      </c>
      <c r="AI69" s="34" t="s">
        <v>0</v>
      </c>
      <c r="AJ69" s="34" t="s">
        <v>0</v>
      </c>
      <c r="AK69" s="34" t="s">
        <v>0</v>
      </c>
    </row>
    <row r="70" spans="1:37">
      <c r="A70" s="27"/>
      <c r="B70" s="27"/>
      <c r="C70" s="22" t="s">
        <v>62</v>
      </c>
      <c r="D70" s="51">
        <v>0.9194239924</v>
      </c>
      <c r="E70" s="51">
        <v>0.4685018553</v>
      </c>
      <c r="F70" s="51">
        <v>0.05749983883</v>
      </c>
      <c r="G70" s="51">
        <v>0.09412953285</v>
      </c>
      <c r="H70" s="51">
        <v>0.5644597847</v>
      </c>
      <c r="I70" s="51">
        <v>0.6666666667</v>
      </c>
      <c r="J70" s="51">
        <v>0.6044518227</v>
      </c>
      <c r="K70" s="51">
        <v>0.02266684761</v>
      </c>
      <c r="L70" s="51">
        <v>0.5623639262</v>
      </c>
      <c r="M70" s="51">
        <v>0.1357736303</v>
      </c>
      <c r="N70" s="51">
        <v>0.2168853391</v>
      </c>
      <c r="O70" s="51">
        <v>0.692242943</v>
      </c>
      <c r="P70" s="51">
        <v>0.598318372</v>
      </c>
      <c r="Q70" s="51">
        <v>0.7236445899</v>
      </c>
      <c r="R70" s="51">
        <v>0.790622</v>
      </c>
      <c r="S70" s="51">
        <v>0.276593</v>
      </c>
      <c r="T70" s="51">
        <v>0.988468</v>
      </c>
      <c r="U70" s="51">
        <v>0.94939</v>
      </c>
      <c r="V70" s="51">
        <v>0.967488</v>
      </c>
      <c r="W70" s="52">
        <v>0.879582</v>
      </c>
      <c r="X70" s="51">
        <v>24.26388889</v>
      </c>
      <c r="Y70" s="51">
        <v>135.2534722</v>
      </c>
      <c r="Z70" s="51">
        <v>0.08333333333</v>
      </c>
      <c r="AA70" s="51">
        <v>0.3454271268</v>
      </c>
      <c r="AB70" s="51">
        <v>50.2828299410927</v>
      </c>
      <c r="AC70" s="34" t="s">
        <v>0</v>
      </c>
      <c r="AD70" s="34" t="s">
        <v>0</v>
      </c>
      <c r="AE70" s="34" t="s">
        <v>0</v>
      </c>
      <c r="AF70" s="34" t="s">
        <v>0</v>
      </c>
      <c r="AG70" s="34" t="s">
        <v>0</v>
      </c>
      <c r="AH70" s="34" t="s">
        <v>0</v>
      </c>
      <c r="AI70" s="34" t="s">
        <v>0</v>
      </c>
      <c r="AJ70" s="34" t="s">
        <v>0</v>
      </c>
      <c r="AK70" s="34" t="s">
        <v>0</v>
      </c>
    </row>
    <row r="71" spans="1:37">
      <c r="A71" s="27"/>
      <c r="B71" s="27"/>
      <c r="C71" s="22" t="s">
        <v>63</v>
      </c>
      <c r="D71" s="51">
        <v>0.9471118306</v>
      </c>
      <c r="E71" s="51">
        <v>0.3581245653</v>
      </c>
      <c r="F71" s="51">
        <v>0.05789225018</v>
      </c>
      <c r="G71" s="51">
        <v>0.09178283635</v>
      </c>
      <c r="H71" s="51">
        <v>0.3967850051</v>
      </c>
      <c r="I71" s="51">
        <v>0.5208333333</v>
      </c>
      <c r="J71" s="51">
        <v>0.4307834427</v>
      </c>
      <c r="K71" s="51">
        <v>0.0256068522</v>
      </c>
      <c r="L71" s="51">
        <v>0.3959578534</v>
      </c>
      <c r="M71" s="51">
        <v>0.1070116177</v>
      </c>
      <c r="N71" s="51">
        <v>0.1589670268</v>
      </c>
      <c r="O71" s="51">
        <v>0.657431955</v>
      </c>
      <c r="P71" s="51">
        <v>0.4500839115</v>
      </c>
      <c r="Q71" s="51">
        <v>0.6884058729</v>
      </c>
      <c r="R71" s="51">
        <v>0.796263</v>
      </c>
      <c r="S71" s="51">
        <v>0.292574</v>
      </c>
      <c r="T71" s="51">
        <v>0.989753</v>
      </c>
      <c r="U71" s="51">
        <v>0.952863</v>
      </c>
      <c r="V71" s="51">
        <v>0.970664</v>
      </c>
      <c r="W71" s="52">
        <v>0.887763</v>
      </c>
      <c r="X71" s="51">
        <v>29.5</v>
      </c>
      <c r="Y71" s="51">
        <v>225.9039352</v>
      </c>
      <c r="Z71" s="51">
        <v>0.125</v>
      </c>
      <c r="AA71" s="51">
        <v>0.5625831633</v>
      </c>
      <c r="AB71" s="51">
        <v>36.4387138416232</v>
      </c>
      <c r="AC71" s="34" t="s">
        <v>0</v>
      </c>
      <c r="AD71" s="34" t="s">
        <v>0</v>
      </c>
      <c r="AE71" s="34" t="s">
        <v>0</v>
      </c>
      <c r="AF71" s="34" t="s">
        <v>0</v>
      </c>
      <c r="AG71" s="34" t="s">
        <v>0</v>
      </c>
      <c r="AH71" s="34" t="s">
        <v>0</v>
      </c>
      <c r="AI71" s="34" t="s">
        <v>0</v>
      </c>
      <c r="AJ71" s="34" t="s">
        <v>0</v>
      </c>
      <c r="AK71" s="34" t="s">
        <v>0</v>
      </c>
    </row>
    <row r="72" spans="1:37">
      <c r="A72" s="27"/>
      <c r="B72" s="27"/>
      <c r="C72" s="22" t="s">
        <v>64</v>
      </c>
      <c r="D72" s="51">
        <v>0.9243250835</v>
      </c>
      <c r="E72" s="51">
        <v>0.6833146421</v>
      </c>
      <c r="F72" s="51">
        <v>0.08293768924</v>
      </c>
      <c r="G72" s="51">
        <v>0.1337216356</v>
      </c>
      <c r="H72" s="51">
        <v>0.6950414294</v>
      </c>
      <c r="I72" s="51">
        <v>0.75</v>
      </c>
      <c r="J72" s="51">
        <v>0.7195026658</v>
      </c>
      <c r="K72" s="51">
        <v>0.02507948831</v>
      </c>
      <c r="L72" s="51">
        <v>0.6947674504</v>
      </c>
      <c r="M72" s="51">
        <v>0.1512292132</v>
      </c>
      <c r="N72" s="51">
        <v>0.2479742204</v>
      </c>
      <c r="O72" s="51">
        <v>0.8545002169</v>
      </c>
      <c r="P72" s="51">
        <v>0.6495507576</v>
      </c>
      <c r="Q72" s="51">
        <v>0.8179756181</v>
      </c>
      <c r="R72" s="51">
        <v>0.891801</v>
      </c>
      <c r="S72" s="51">
        <v>0.59625</v>
      </c>
      <c r="T72" s="51">
        <v>0.99496</v>
      </c>
      <c r="U72" s="51">
        <v>0.972553</v>
      </c>
      <c r="V72" s="51">
        <v>0.985022</v>
      </c>
      <c r="W72" s="52">
        <v>0.936255</v>
      </c>
      <c r="X72" s="51">
        <v>27.875</v>
      </c>
      <c r="Y72" s="51">
        <v>208.5671296</v>
      </c>
      <c r="Z72" s="51">
        <v>0</v>
      </c>
      <c r="AA72" s="51">
        <v>1.243857003</v>
      </c>
      <c r="AB72" s="51">
        <v>32.3998859220391</v>
      </c>
      <c r="AC72" s="34" t="s">
        <v>0</v>
      </c>
      <c r="AD72" s="34" t="s">
        <v>0</v>
      </c>
      <c r="AE72" s="34" t="s">
        <v>0</v>
      </c>
      <c r="AF72" s="34" t="s">
        <v>0</v>
      </c>
      <c r="AG72" s="34" t="s">
        <v>0</v>
      </c>
      <c r="AH72" s="34" t="s">
        <v>0</v>
      </c>
      <c r="AI72" s="34" t="s">
        <v>0</v>
      </c>
      <c r="AJ72" s="34" t="s">
        <v>0</v>
      </c>
      <c r="AK72" s="34" t="s">
        <v>0</v>
      </c>
    </row>
    <row r="73" spans="1:37">
      <c r="A73" s="27"/>
      <c r="B73" s="22" t="s">
        <v>65</v>
      </c>
      <c r="C73" s="22" t="s">
        <v>66</v>
      </c>
      <c r="D73" s="51">
        <v>0.9079400633</v>
      </c>
      <c r="E73" s="51">
        <v>0.837432022</v>
      </c>
      <c r="F73" s="51">
        <v>0.09129574308</v>
      </c>
      <c r="G73" s="51">
        <v>0.1498775923</v>
      </c>
      <c r="H73" s="51">
        <v>0.828447748</v>
      </c>
      <c r="I73" s="51">
        <v>0.9375</v>
      </c>
      <c r="J73" s="51">
        <v>0.8767571614</v>
      </c>
      <c r="K73" s="51">
        <v>0.01278931499</v>
      </c>
      <c r="L73" s="51">
        <v>0.8284438199</v>
      </c>
      <c r="M73" s="51">
        <v>0.1878885174</v>
      </c>
      <c r="N73" s="51">
        <v>0.3056890483</v>
      </c>
      <c r="O73" s="51">
        <v>0.9020956114</v>
      </c>
      <c r="P73" s="51">
        <v>0.899372422</v>
      </c>
      <c r="Q73" s="51">
        <v>0.9249258659</v>
      </c>
      <c r="R73" s="51">
        <v>0.871159</v>
      </c>
      <c r="S73" s="51">
        <v>0.505493</v>
      </c>
      <c r="T73" s="51">
        <v>0.993674</v>
      </c>
      <c r="U73" s="51">
        <v>0.965533</v>
      </c>
      <c r="V73" s="51">
        <v>0.981438</v>
      </c>
      <c r="W73" s="52">
        <v>0.919408</v>
      </c>
      <c r="X73" s="51">
        <v>32.40277778</v>
      </c>
      <c r="Y73" s="51">
        <v>53.01884921</v>
      </c>
      <c r="Z73" s="51">
        <v>0.1041666667</v>
      </c>
      <c r="AA73" s="51">
        <v>4.521955114</v>
      </c>
      <c r="AB73" s="51">
        <v>58.4066077626247</v>
      </c>
      <c r="AC73" s="34" t="s">
        <v>0</v>
      </c>
      <c r="AD73" s="34" t="s">
        <v>0</v>
      </c>
      <c r="AE73" s="34" t="s">
        <v>0</v>
      </c>
      <c r="AF73" s="34" t="s">
        <v>0</v>
      </c>
      <c r="AG73" s="34" t="s">
        <v>0</v>
      </c>
      <c r="AH73" s="34" t="s">
        <v>0</v>
      </c>
      <c r="AI73" s="34" t="s">
        <v>0</v>
      </c>
      <c r="AJ73" s="34" t="s">
        <v>0</v>
      </c>
      <c r="AK73" s="34" t="s">
        <v>0</v>
      </c>
    </row>
    <row r="74" spans="1:37">
      <c r="A74" s="27"/>
      <c r="B74" s="28"/>
      <c r="C74" s="22" t="s">
        <v>67</v>
      </c>
      <c r="D74" s="51">
        <v>0.9158424259</v>
      </c>
      <c r="E74" s="51">
        <v>0.8768408282</v>
      </c>
      <c r="F74" s="51">
        <v>0.08282258108</v>
      </c>
      <c r="G74" s="51">
        <v>0.1377845352</v>
      </c>
      <c r="H74" s="51">
        <v>0.8660302896</v>
      </c>
      <c r="I74" s="51">
        <v>0.9791666667</v>
      </c>
      <c r="J74" s="51">
        <v>0.9158302136</v>
      </c>
      <c r="K74" s="51">
        <v>0.009186606526</v>
      </c>
      <c r="L74" s="51">
        <v>0.8660223982</v>
      </c>
      <c r="M74" s="51">
        <v>0.1961728758</v>
      </c>
      <c r="N74" s="51">
        <v>0.319165231</v>
      </c>
      <c r="O74" s="51">
        <v>0.9037282282</v>
      </c>
      <c r="P74" s="51">
        <v>0.9280827507</v>
      </c>
      <c r="Q74" s="51">
        <v>0.9180618751</v>
      </c>
      <c r="R74" s="51">
        <v>0.865142</v>
      </c>
      <c r="S74" s="51">
        <v>0.484622</v>
      </c>
      <c r="T74" s="51">
        <v>0.993113</v>
      </c>
      <c r="U74" s="51">
        <v>0.963278</v>
      </c>
      <c r="V74" s="51">
        <v>0.979953</v>
      </c>
      <c r="W74" s="52">
        <v>0.914213</v>
      </c>
      <c r="X74" s="51">
        <v>35.25</v>
      </c>
      <c r="Y74" s="51">
        <v>65.77529762</v>
      </c>
      <c r="Z74" s="51">
        <v>0.1041666667</v>
      </c>
      <c r="AA74" s="51">
        <v>4.738578905</v>
      </c>
      <c r="AB74" s="51">
        <v>71.3423554703511</v>
      </c>
      <c r="AC74" s="34" t="s">
        <v>0</v>
      </c>
      <c r="AD74" s="34" t="s">
        <v>0</v>
      </c>
      <c r="AE74" s="34" t="s">
        <v>0</v>
      </c>
      <c r="AF74" s="34" t="s">
        <v>0</v>
      </c>
      <c r="AG74" s="34" t="s">
        <v>0</v>
      </c>
      <c r="AH74" s="34" t="s">
        <v>0</v>
      </c>
      <c r="AI74" s="34" t="s">
        <v>0</v>
      </c>
      <c r="AJ74" s="34" t="s">
        <v>0</v>
      </c>
      <c r="AK74" s="34" t="s">
        <v>0</v>
      </c>
    </row>
    <row r="75" spans="1:37">
      <c r="A75" s="27"/>
      <c r="B75" s="22" t="s">
        <v>68</v>
      </c>
      <c r="C75" s="22" t="s">
        <v>69</v>
      </c>
      <c r="D75" s="51">
        <v>0.9088567078</v>
      </c>
      <c r="E75" s="51">
        <v>0.8605379769</v>
      </c>
      <c r="F75" s="51">
        <v>0.08137443081</v>
      </c>
      <c r="G75" s="51">
        <v>0.1361198229</v>
      </c>
      <c r="H75" s="51">
        <v>0.8591853472</v>
      </c>
      <c r="I75" s="51">
        <v>0.9791666667</v>
      </c>
      <c r="J75" s="51">
        <v>0.9107919214</v>
      </c>
      <c r="K75" s="51">
        <v>0.005604927334</v>
      </c>
      <c r="L75" s="51">
        <v>0.8591550658</v>
      </c>
      <c r="M75" s="51">
        <v>0.1961084812</v>
      </c>
      <c r="N75" s="51">
        <v>0.3183088768</v>
      </c>
      <c r="O75" s="51">
        <v>0.8941382936</v>
      </c>
      <c r="P75" s="51">
        <v>0.9249598238</v>
      </c>
      <c r="Q75" s="51">
        <v>0.9123759986</v>
      </c>
      <c r="R75" s="51">
        <v>0.865261</v>
      </c>
      <c r="S75" s="51">
        <v>0.49449</v>
      </c>
      <c r="T75" s="51">
        <v>0.992844</v>
      </c>
      <c r="U75" s="51">
        <v>0.96272</v>
      </c>
      <c r="V75" s="51">
        <v>0.979276</v>
      </c>
      <c r="W75" s="52">
        <v>0.913317</v>
      </c>
      <c r="X75" s="51">
        <v>23.1359127</v>
      </c>
      <c r="Y75" s="51">
        <v>43.04017857</v>
      </c>
      <c r="Z75" s="51">
        <v>0.1041666667</v>
      </c>
      <c r="AA75" s="51">
        <v>6.656790562</v>
      </c>
      <c r="AB75" s="51">
        <v>34.8014180420894</v>
      </c>
      <c r="AC75" s="34" t="s">
        <v>0</v>
      </c>
      <c r="AD75" s="34" t="s">
        <v>0</v>
      </c>
      <c r="AE75" s="34" t="s">
        <v>0</v>
      </c>
      <c r="AF75" s="34" t="s">
        <v>0</v>
      </c>
      <c r="AG75" s="34" t="s">
        <v>0</v>
      </c>
      <c r="AH75" s="34" t="s">
        <v>0</v>
      </c>
      <c r="AI75" s="34" t="s">
        <v>0</v>
      </c>
      <c r="AJ75" s="34" t="s">
        <v>0</v>
      </c>
      <c r="AK75" s="34" t="s">
        <v>0</v>
      </c>
    </row>
    <row r="76" spans="1:37">
      <c r="A76" s="27"/>
      <c r="B76" s="27"/>
      <c r="C76" s="22" t="s">
        <v>70</v>
      </c>
      <c r="D76" s="51">
        <v>0.9134288418</v>
      </c>
      <c r="E76" s="51">
        <v>0.8649841096</v>
      </c>
      <c r="F76" s="51">
        <v>0.08138109743</v>
      </c>
      <c r="G76" s="51">
        <v>0.1360615668</v>
      </c>
      <c r="H76" s="51">
        <v>0.8621035074</v>
      </c>
      <c r="I76" s="51">
        <v>0.9791666667</v>
      </c>
      <c r="J76" s="51">
        <v>0.9136818456</v>
      </c>
      <c r="K76" s="51">
        <v>0.003362774659</v>
      </c>
      <c r="L76" s="51">
        <v>0.8620923377</v>
      </c>
      <c r="M76" s="51">
        <v>0.1960902047</v>
      </c>
      <c r="N76" s="51">
        <v>0.3188044732</v>
      </c>
      <c r="O76" s="51">
        <v>0.8923914437</v>
      </c>
      <c r="P76" s="51">
        <v>0.9383225558</v>
      </c>
      <c r="Q76" s="51">
        <v>0.9179564459</v>
      </c>
      <c r="R76" s="51">
        <v>0.855573</v>
      </c>
      <c r="S76" s="51">
        <v>0.446987</v>
      </c>
      <c r="T76" s="51">
        <v>0.992846</v>
      </c>
      <c r="U76" s="51">
        <v>0.961816</v>
      </c>
      <c r="V76" s="51">
        <v>0.978975</v>
      </c>
      <c r="W76" s="52">
        <v>0.909877</v>
      </c>
      <c r="X76" s="51">
        <v>35.80753968</v>
      </c>
      <c r="Y76" s="51">
        <v>59.15178571</v>
      </c>
      <c r="Z76" s="51">
        <v>0.1666666667</v>
      </c>
      <c r="AA76" s="51">
        <v>6.791448594</v>
      </c>
      <c r="AB76" s="51">
        <v>28.2912847661914</v>
      </c>
      <c r="AC76" s="34" t="s">
        <v>0</v>
      </c>
      <c r="AD76" s="34" t="s">
        <v>0</v>
      </c>
      <c r="AE76" s="34" t="s">
        <v>0</v>
      </c>
      <c r="AF76" s="34" t="s">
        <v>0</v>
      </c>
      <c r="AG76" s="34" t="s">
        <v>0</v>
      </c>
      <c r="AH76" s="34" t="s">
        <v>0</v>
      </c>
      <c r="AI76" s="34" t="s">
        <v>0</v>
      </c>
      <c r="AJ76" s="34" t="s">
        <v>0</v>
      </c>
      <c r="AK76" s="34" t="s">
        <v>0</v>
      </c>
    </row>
    <row r="77" spans="1:37">
      <c r="A77" s="27"/>
      <c r="B77" s="27"/>
      <c r="C77" s="22" t="s">
        <v>71</v>
      </c>
      <c r="D77" s="51">
        <v>0.9039556167</v>
      </c>
      <c r="E77" s="51">
        <v>0.9003899669</v>
      </c>
      <c r="F77" s="51">
        <v>0.08254644585</v>
      </c>
      <c r="G77" s="51">
        <v>0.1373959738</v>
      </c>
      <c r="H77" s="51">
        <v>0.8888382161</v>
      </c>
      <c r="I77" s="51">
        <v>1</v>
      </c>
      <c r="J77" s="51">
        <v>0.9376882326</v>
      </c>
      <c r="K77" s="51">
        <v>0.008715765934</v>
      </c>
      <c r="L77" s="51">
        <v>0.8888382161</v>
      </c>
      <c r="M77" s="51">
        <v>0.2003424125</v>
      </c>
      <c r="N77" s="51">
        <v>0.3262296002</v>
      </c>
      <c r="O77" s="51">
        <v>0.9094017317</v>
      </c>
      <c r="P77" s="51">
        <v>0.9304545851</v>
      </c>
      <c r="Q77" s="51">
        <v>0.9086504345</v>
      </c>
      <c r="R77" s="51">
        <v>0.865702</v>
      </c>
      <c r="S77" s="51">
        <v>0.484205</v>
      </c>
      <c r="T77" s="51">
        <v>0.993057</v>
      </c>
      <c r="U77" s="51">
        <v>0.963077</v>
      </c>
      <c r="V77" s="51">
        <v>0.979799</v>
      </c>
      <c r="W77" s="52">
        <v>0.913702</v>
      </c>
      <c r="X77" s="51">
        <v>33.63541667</v>
      </c>
      <c r="Y77" s="51">
        <v>91.90625</v>
      </c>
      <c r="Z77" s="51">
        <v>0.1041666667</v>
      </c>
      <c r="AA77" s="51">
        <v>6.489133327</v>
      </c>
      <c r="AB77" s="51">
        <v>19.4124028198218</v>
      </c>
      <c r="AC77" s="34" t="s">
        <v>0</v>
      </c>
      <c r="AD77" s="34" t="s">
        <v>0</v>
      </c>
      <c r="AE77" s="34" t="s">
        <v>0</v>
      </c>
      <c r="AF77" s="34" t="s">
        <v>0</v>
      </c>
      <c r="AG77" s="34" t="s">
        <v>0</v>
      </c>
      <c r="AH77" s="34" t="s">
        <v>0</v>
      </c>
      <c r="AI77" s="34" t="s">
        <v>0</v>
      </c>
      <c r="AJ77" s="34" t="s">
        <v>0</v>
      </c>
      <c r="AK77" s="34" t="s">
        <v>0</v>
      </c>
    </row>
    <row r="78" spans="1:37">
      <c r="A78" s="27"/>
      <c r="B78" s="28"/>
      <c r="C78" s="22" t="s">
        <v>72</v>
      </c>
      <c r="D78" s="51">
        <v>0.9077478636</v>
      </c>
      <c r="E78" s="51">
        <v>0.8682296322</v>
      </c>
      <c r="F78" s="51">
        <v>0.08319796082</v>
      </c>
      <c r="G78" s="51">
        <v>0.1392100069</v>
      </c>
      <c r="H78" s="51">
        <v>0.8507993283</v>
      </c>
      <c r="I78" s="51">
        <v>0.9583333333</v>
      </c>
      <c r="J78" s="51">
        <v>0.8981503742</v>
      </c>
      <c r="K78" s="51">
        <v>0.00767633688</v>
      </c>
      <c r="L78" s="51">
        <v>0.8507993283</v>
      </c>
      <c r="M78" s="51">
        <v>0.1920291238</v>
      </c>
      <c r="N78" s="51">
        <v>0.3126382786</v>
      </c>
      <c r="O78" s="51">
        <v>0.9143026765</v>
      </c>
      <c r="P78" s="51">
        <v>0.9040464744</v>
      </c>
      <c r="Q78" s="51">
        <v>0.9213681303</v>
      </c>
      <c r="R78" s="51">
        <v>0.866951</v>
      </c>
      <c r="S78" s="51">
        <v>0.492628</v>
      </c>
      <c r="T78" s="51">
        <v>0.993168</v>
      </c>
      <c r="U78" s="51">
        <v>0.963336</v>
      </c>
      <c r="V78" s="51">
        <v>0.980083</v>
      </c>
      <c r="W78" s="52">
        <v>0.914463</v>
      </c>
      <c r="X78" s="51">
        <v>34.49305556</v>
      </c>
      <c r="Y78" s="51">
        <v>69.6577381</v>
      </c>
      <c r="Z78" s="51">
        <v>0.1041666667</v>
      </c>
      <c r="AA78" s="51">
        <v>5.420917236</v>
      </c>
      <c r="AB78" s="51">
        <v>32.9257751523881</v>
      </c>
      <c r="AC78" s="34" t="s">
        <v>0</v>
      </c>
      <c r="AD78" s="34" t="s">
        <v>0</v>
      </c>
      <c r="AE78" s="34" t="s">
        <v>0</v>
      </c>
      <c r="AF78" s="34" t="s">
        <v>0</v>
      </c>
      <c r="AG78" s="34" t="s">
        <v>0</v>
      </c>
      <c r="AH78" s="34" t="s">
        <v>0</v>
      </c>
      <c r="AI78" s="34" t="s">
        <v>0</v>
      </c>
      <c r="AJ78" s="34" t="s">
        <v>0</v>
      </c>
      <c r="AK78" s="34" t="s">
        <v>0</v>
      </c>
    </row>
    <row r="79" spans="1:37">
      <c r="A79" s="28"/>
      <c r="B79" s="22" t="s">
        <v>73</v>
      </c>
      <c r="C79" s="22" t="s">
        <v>74</v>
      </c>
      <c r="D79" s="51">
        <v>0.9259402998</v>
      </c>
      <c r="E79" s="51">
        <v>0.8676864393</v>
      </c>
      <c r="F79" s="51">
        <v>0.07789121419</v>
      </c>
      <c r="G79" s="51">
        <v>0.127886664</v>
      </c>
      <c r="H79" s="51">
        <v>0.8660463602</v>
      </c>
      <c r="I79" s="51">
        <v>0.8958333333</v>
      </c>
      <c r="J79" s="51">
        <v>0.8793620953</v>
      </c>
      <c r="K79" s="51">
        <v>0.01303630215</v>
      </c>
      <c r="L79" s="51">
        <v>0.865968809</v>
      </c>
      <c r="M79" s="51">
        <v>0.1797810873</v>
      </c>
      <c r="N79" s="51">
        <v>0.2974548601</v>
      </c>
      <c r="O79" s="51">
        <v>0.9609042097</v>
      </c>
      <c r="P79" s="51">
        <v>0.8054322814</v>
      </c>
      <c r="Q79" s="51">
        <v>0.9195851348</v>
      </c>
      <c r="R79" s="51">
        <v>0.926472</v>
      </c>
      <c r="S79" s="51">
        <v>0.676844</v>
      </c>
      <c r="T79" s="51">
        <v>0.995694</v>
      </c>
      <c r="U79" s="51">
        <v>0.977716</v>
      </c>
      <c r="V79" s="51">
        <v>0.98797</v>
      </c>
      <c r="W79" s="52">
        <v>0.948639</v>
      </c>
      <c r="X79" s="51">
        <v>24.78472222</v>
      </c>
      <c r="Y79" s="51">
        <v>119.6125</v>
      </c>
      <c r="Z79" s="51">
        <v>0.0625</v>
      </c>
      <c r="AA79" s="51">
        <v>2.089062361</v>
      </c>
      <c r="AB79" s="51">
        <v>19.3176726650063</v>
      </c>
      <c r="AC79" s="34" t="s">
        <v>0</v>
      </c>
      <c r="AD79" s="34" t="s">
        <v>0</v>
      </c>
      <c r="AE79" s="34" t="s">
        <v>0</v>
      </c>
      <c r="AF79" s="34" t="s">
        <v>0</v>
      </c>
      <c r="AG79" s="34" t="s">
        <v>0</v>
      </c>
      <c r="AH79" s="34" t="s">
        <v>0</v>
      </c>
      <c r="AI79" s="34" t="s">
        <v>0</v>
      </c>
      <c r="AJ79" s="34" t="s">
        <v>0</v>
      </c>
      <c r="AK79" s="34" t="s">
        <v>0</v>
      </c>
    </row>
    <row r="80" spans="1:37">
      <c r="A80" s="25" t="s">
        <v>0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</row>
    <row r="81" spans="1:37">
      <c r="A81" s="22" t="s">
        <v>0</v>
      </c>
      <c r="B81" s="22" t="s">
        <v>0</v>
      </c>
      <c r="D81" s="24" t="s">
        <v>7</v>
      </c>
      <c r="E81" s="22" t="s">
        <v>8</v>
      </c>
      <c r="F81" s="22" t="s">
        <v>9</v>
      </c>
      <c r="G81" s="22" t="s">
        <v>10</v>
      </c>
      <c r="H81" s="22" t="s">
        <v>11</v>
      </c>
      <c r="I81" s="22" t="s">
        <v>12</v>
      </c>
      <c r="J81" s="22" t="s">
        <v>13</v>
      </c>
      <c r="K81" s="22" t="s">
        <v>14</v>
      </c>
      <c r="L81" s="22" t="s">
        <v>15</v>
      </c>
      <c r="M81" s="22" t="s">
        <v>16</v>
      </c>
      <c r="N81" s="22" t="s">
        <v>17</v>
      </c>
      <c r="O81" s="22" t="s">
        <v>18</v>
      </c>
      <c r="P81" s="22" t="s">
        <v>19</v>
      </c>
      <c r="Q81" s="22" t="s">
        <v>20</v>
      </c>
      <c r="R81" s="22" t="s">
        <v>21</v>
      </c>
      <c r="S81" s="22" t="s">
        <v>22</v>
      </c>
      <c r="T81" s="22" t="s">
        <v>23</v>
      </c>
      <c r="U81" s="22" t="s">
        <v>24</v>
      </c>
      <c r="V81" s="22" t="s">
        <v>25</v>
      </c>
      <c r="W81" s="25" t="s">
        <v>26</v>
      </c>
      <c r="X81" s="22" t="s">
        <v>27</v>
      </c>
      <c r="Y81" s="22" t="s">
        <v>28</v>
      </c>
      <c r="Z81" s="22" t="s">
        <v>29</v>
      </c>
      <c r="AA81" s="24" t="s">
        <v>30</v>
      </c>
      <c r="AB81" s="24" t="s">
        <v>31</v>
      </c>
      <c r="AC81" s="34" t="s">
        <v>0</v>
      </c>
      <c r="AD81" s="34" t="s">
        <v>0</v>
      </c>
      <c r="AE81" s="34" t="s">
        <v>0</v>
      </c>
      <c r="AF81" s="34" t="s">
        <v>0</v>
      </c>
      <c r="AG81" s="34" t="s">
        <v>0</v>
      </c>
      <c r="AH81" s="34" t="s">
        <v>0</v>
      </c>
      <c r="AI81" s="34" t="s">
        <v>0</v>
      </c>
      <c r="AJ81" s="34" t="s">
        <v>0</v>
      </c>
      <c r="AK81" s="34" t="s">
        <v>0</v>
      </c>
    </row>
    <row r="82" spans="1:37">
      <c r="A82" s="22" t="s">
        <v>76</v>
      </c>
      <c r="B82" s="22" t="s">
        <v>33</v>
      </c>
      <c r="C82" s="22" t="s">
        <v>34</v>
      </c>
      <c r="D82" s="51">
        <v>0.9398306031</v>
      </c>
      <c r="E82" s="51">
        <v>0.7893715871</v>
      </c>
      <c r="F82" s="51">
        <v>0.3511600716</v>
      </c>
      <c r="G82" s="51">
        <v>0.4037475304</v>
      </c>
      <c r="H82" s="51">
        <v>0.6208124921</v>
      </c>
      <c r="I82" s="51">
        <v>1</v>
      </c>
      <c r="J82" s="51">
        <v>0.7262651857</v>
      </c>
      <c r="K82" s="51">
        <v>0.2030724778</v>
      </c>
      <c r="L82" s="51">
        <v>0.6119508918</v>
      </c>
      <c r="M82" s="51">
        <v>0.2871986089</v>
      </c>
      <c r="N82" s="51">
        <v>0.3221068612</v>
      </c>
      <c r="O82" s="51">
        <v>0.8360597237</v>
      </c>
      <c r="P82" s="51">
        <v>0.9729459413</v>
      </c>
      <c r="Q82" s="51">
        <v>0.8904760887</v>
      </c>
      <c r="R82" s="51">
        <v>0.772088</v>
      </c>
      <c r="S82" s="51">
        <v>0.605623</v>
      </c>
      <c r="T82" s="51">
        <v>0.914553</v>
      </c>
      <c r="U82" s="51">
        <v>0.905752</v>
      </c>
      <c r="V82" s="51">
        <v>0.902799</v>
      </c>
      <c r="W82" s="52">
        <v>0.877257</v>
      </c>
      <c r="X82" s="51">
        <v>32.0462963</v>
      </c>
      <c r="Y82" s="51">
        <v>9.956790123</v>
      </c>
      <c r="Z82" s="51">
        <v>0.07407407407</v>
      </c>
      <c r="AA82" s="51">
        <v>3.730403403</v>
      </c>
      <c r="AB82" s="51">
        <v>5.95319080012958</v>
      </c>
      <c r="AC82" s="34" t="s">
        <v>0</v>
      </c>
      <c r="AD82" s="34" t="s">
        <v>0</v>
      </c>
      <c r="AE82" s="34" t="s">
        <v>0</v>
      </c>
      <c r="AF82" s="34" t="s">
        <v>0</v>
      </c>
      <c r="AG82" s="34" t="s">
        <v>0</v>
      </c>
      <c r="AH82" s="34" t="s">
        <v>0</v>
      </c>
      <c r="AI82" s="34" t="s">
        <v>0</v>
      </c>
      <c r="AJ82" s="34" t="s">
        <v>0</v>
      </c>
      <c r="AK82" s="34" t="s">
        <v>0</v>
      </c>
    </row>
    <row r="83" spans="1:37">
      <c r="A83" s="27"/>
      <c r="B83" s="27"/>
      <c r="C83" s="22" t="s">
        <v>35</v>
      </c>
      <c r="D83" s="51">
        <v>0.9613834497</v>
      </c>
      <c r="E83" s="51">
        <v>0.7088415655</v>
      </c>
      <c r="F83" s="51">
        <v>0.1703084202</v>
      </c>
      <c r="G83" s="51">
        <v>0.2225663119</v>
      </c>
      <c r="H83" s="51">
        <v>0.6546146277</v>
      </c>
      <c r="I83" s="51">
        <v>1</v>
      </c>
      <c r="J83" s="51">
        <v>0.764714549</v>
      </c>
      <c r="K83" s="51">
        <v>0.09403661228</v>
      </c>
      <c r="L83" s="51">
        <v>0.6528496196</v>
      </c>
      <c r="M83" s="51">
        <v>0.2090277957</v>
      </c>
      <c r="N83" s="51">
        <v>0.3048871689</v>
      </c>
      <c r="O83" s="51">
        <v>0.7566864105</v>
      </c>
      <c r="P83" s="51">
        <v>0.9576300373</v>
      </c>
      <c r="Q83" s="51">
        <v>0.8246802309</v>
      </c>
      <c r="R83" s="51">
        <v>0.723181</v>
      </c>
      <c r="S83" s="51">
        <v>0.519537</v>
      </c>
      <c r="T83" s="51">
        <v>0.897815</v>
      </c>
      <c r="U83" s="51">
        <v>0.885334</v>
      </c>
      <c r="V83" s="51">
        <v>0.883212</v>
      </c>
      <c r="W83" s="52">
        <v>0.849941</v>
      </c>
      <c r="X83" s="51">
        <v>30.82352941</v>
      </c>
      <c r="Y83" s="51">
        <v>11.14814815</v>
      </c>
      <c r="Z83" s="51">
        <v>0.07407407407</v>
      </c>
      <c r="AA83" s="51">
        <v>2.300028522</v>
      </c>
      <c r="AB83" s="51">
        <v>9.39565102094935</v>
      </c>
      <c r="AC83" s="34" t="s">
        <v>0</v>
      </c>
      <c r="AD83" s="34" t="s">
        <v>0</v>
      </c>
      <c r="AE83" s="34" t="s">
        <v>0</v>
      </c>
      <c r="AF83" s="34" t="s">
        <v>0</v>
      </c>
      <c r="AG83" s="34" t="s">
        <v>0</v>
      </c>
      <c r="AH83" s="34" t="s">
        <v>0</v>
      </c>
      <c r="AI83" s="34" t="s">
        <v>0</v>
      </c>
      <c r="AJ83" s="34" t="s">
        <v>0</v>
      </c>
      <c r="AK83" s="34" t="s">
        <v>0</v>
      </c>
    </row>
    <row r="84" spans="1:37">
      <c r="A84" s="27"/>
      <c r="B84" s="28"/>
      <c r="C84" s="22" t="s">
        <v>36</v>
      </c>
      <c r="D84" s="51">
        <v>0.6068279617</v>
      </c>
      <c r="E84" s="51">
        <v>0.6963428447</v>
      </c>
      <c r="F84" s="51">
        <v>0.6720980945</v>
      </c>
      <c r="G84" s="51">
        <v>0.6494939775</v>
      </c>
      <c r="H84" s="51">
        <v>0.6600018253</v>
      </c>
      <c r="I84" s="51">
        <v>1</v>
      </c>
      <c r="J84" s="51">
        <v>0.7595890154</v>
      </c>
      <c r="K84" s="51">
        <v>0.2671532005</v>
      </c>
      <c r="L84" s="51">
        <v>0.6493237337</v>
      </c>
      <c r="M84" s="51">
        <v>0.271315697</v>
      </c>
      <c r="N84" s="51">
        <v>0.3237990212</v>
      </c>
      <c r="O84" s="51">
        <v>0.7673945304</v>
      </c>
      <c r="P84" s="51">
        <v>0.9969554852</v>
      </c>
      <c r="Q84" s="51">
        <v>0.8559216914</v>
      </c>
      <c r="R84" s="51">
        <v>0.737895</v>
      </c>
      <c r="S84" s="51">
        <v>0.552038</v>
      </c>
      <c r="T84" s="51">
        <v>0.89431</v>
      </c>
      <c r="U84" s="51">
        <v>0.88089</v>
      </c>
      <c r="V84" s="51">
        <v>0.882834</v>
      </c>
      <c r="W84" s="52">
        <v>0.85095</v>
      </c>
      <c r="X84" s="51">
        <v>38.74561404</v>
      </c>
      <c r="Y84" s="51">
        <v>2.413580247</v>
      </c>
      <c r="Z84" s="51">
        <v>0.1111111111</v>
      </c>
      <c r="AA84" s="51">
        <v>12.57158447</v>
      </c>
      <c r="AB84" s="51">
        <v>1.8836020354782</v>
      </c>
      <c r="AC84" s="34" t="s">
        <v>0</v>
      </c>
      <c r="AD84" s="34" t="s">
        <v>0</v>
      </c>
      <c r="AE84" s="34" t="s">
        <v>0</v>
      </c>
      <c r="AF84" s="34" t="s">
        <v>0</v>
      </c>
      <c r="AG84" s="34" t="s">
        <v>0</v>
      </c>
      <c r="AH84" s="34" t="s">
        <v>0</v>
      </c>
      <c r="AI84" s="34" t="s">
        <v>0</v>
      </c>
      <c r="AJ84" s="34" t="s">
        <v>0</v>
      </c>
      <c r="AK84" s="34" t="s">
        <v>0</v>
      </c>
    </row>
    <row r="85" spans="1:37">
      <c r="A85" s="27"/>
      <c r="B85" s="22" t="s">
        <v>37</v>
      </c>
      <c r="C85" s="22" t="s">
        <v>38</v>
      </c>
      <c r="D85" s="51">
        <v>0.9054629274</v>
      </c>
      <c r="E85" s="51">
        <v>0.6238151127</v>
      </c>
      <c r="F85" s="51">
        <v>0.1730101844</v>
      </c>
      <c r="G85" s="51">
        <v>0.2197802341</v>
      </c>
      <c r="H85" s="51">
        <v>0.6224049744</v>
      </c>
      <c r="I85" s="51">
        <v>0.8564814815</v>
      </c>
      <c r="J85" s="51">
        <v>0.6955563547</v>
      </c>
      <c r="K85" s="51">
        <v>0.09917526286</v>
      </c>
      <c r="L85" s="51">
        <v>0.6191815177</v>
      </c>
      <c r="M85" s="51">
        <v>0.188335897</v>
      </c>
      <c r="N85" s="51">
        <v>0.269635822</v>
      </c>
      <c r="O85" s="51">
        <v>0.7620339964</v>
      </c>
      <c r="P85" s="51">
        <v>0.7910055499</v>
      </c>
      <c r="Q85" s="51">
        <v>0.8007048902</v>
      </c>
      <c r="R85" s="51">
        <v>0.717273</v>
      </c>
      <c r="S85" s="51">
        <v>0.538954</v>
      </c>
      <c r="T85" s="51">
        <v>0.892921</v>
      </c>
      <c r="U85" s="51">
        <v>0.88695</v>
      </c>
      <c r="V85" s="51">
        <v>0.876719</v>
      </c>
      <c r="W85" s="52">
        <v>0.852733</v>
      </c>
      <c r="X85" s="51">
        <v>32.11386684</v>
      </c>
      <c r="Y85" s="51">
        <v>32.71515285</v>
      </c>
      <c r="Z85" s="51">
        <v>0.07407407407</v>
      </c>
      <c r="AA85" s="51">
        <v>1.477250462</v>
      </c>
      <c r="AB85" s="51">
        <v>29.5149321067744</v>
      </c>
      <c r="AC85" s="34" t="s">
        <v>0</v>
      </c>
      <c r="AD85" s="34" t="s">
        <v>0</v>
      </c>
      <c r="AE85" s="34" t="s">
        <v>0</v>
      </c>
      <c r="AF85" s="34" t="s">
        <v>0</v>
      </c>
      <c r="AG85" s="34" t="s">
        <v>0</v>
      </c>
      <c r="AH85" s="34" t="s">
        <v>0</v>
      </c>
      <c r="AI85" s="34" t="s">
        <v>0</v>
      </c>
      <c r="AJ85" s="34" t="s">
        <v>0</v>
      </c>
      <c r="AK85" s="34" t="s">
        <v>0</v>
      </c>
    </row>
    <row r="86" spans="1:37">
      <c r="A86" s="27"/>
      <c r="B86" s="27"/>
      <c r="C86" s="22" t="s">
        <v>39</v>
      </c>
      <c r="D86" s="51">
        <v>0.9601557559</v>
      </c>
      <c r="E86" s="51">
        <v>0.7380798859</v>
      </c>
      <c r="F86" s="51">
        <v>0.1816214052</v>
      </c>
      <c r="G86" s="51">
        <v>0.2354632591</v>
      </c>
      <c r="H86" s="51">
        <v>0.6868838532</v>
      </c>
      <c r="I86" s="51">
        <v>1</v>
      </c>
      <c r="J86" s="51">
        <v>0.7815089464</v>
      </c>
      <c r="K86" s="51">
        <v>0.1278926159</v>
      </c>
      <c r="L86" s="51">
        <v>0.6823844594</v>
      </c>
      <c r="M86" s="51">
        <v>0.2081079327</v>
      </c>
      <c r="N86" s="51">
        <v>0.3036504715</v>
      </c>
      <c r="O86" s="51">
        <v>0.787923895</v>
      </c>
      <c r="P86" s="51">
        <v>0.9523110835</v>
      </c>
      <c r="Q86" s="51">
        <v>0.8433541854</v>
      </c>
      <c r="R86" s="51">
        <v>0.736407</v>
      </c>
      <c r="S86" s="51">
        <v>0.53993</v>
      </c>
      <c r="T86" s="51">
        <v>0.901539</v>
      </c>
      <c r="U86" s="51">
        <v>0.887357</v>
      </c>
      <c r="V86" s="51">
        <v>0.887344</v>
      </c>
      <c r="W86" s="52">
        <v>0.853491</v>
      </c>
      <c r="X86" s="51">
        <v>31.49019608</v>
      </c>
      <c r="Y86" s="51">
        <v>15.90740741</v>
      </c>
      <c r="Z86" s="51">
        <v>0.07407407407</v>
      </c>
      <c r="AA86" s="51">
        <v>2.087525887</v>
      </c>
      <c r="AB86" s="51">
        <v>10.2327182190978</v>
      </c>
      <c r="AC86" s="34" t="s">
        <v>0</v>
      </c>
      <c r="AD86" s="34" t="s">
        <v>0</v>
      </c>
      <c r="AE86" s="34" t="s">
        <v>0</v>
      </c>
      <c r="AF86" s="34" t="s">
        <v>0</v>
      </c>
      <c r="AG86" s="34" t="s">
        <v>0</v>
      </c>
      <c r="AH86" s="34" t="s">
        <v>0</v>
      </c>
      <c r="AI86" s="34" t="s">
        <v>0</v>
      </c>
      <c r="AJ86" s="34" t="s">
        <v>0</v>
      </c>
      <c r="AK86" s="34" t="s">
        <v>0</v>
      </c>
    </row>
    <row r="87" spans="1:37">
      <c r="A87" s="27"/>
      <c r="B87" s="27"/>
      <c r="C87" s="22" t="s">
        <v>40</v>
      </c>
      <c r="D87" s="51">
        <v>0.8738668634</v>
      </c>
      <c r="E87" s="51">
        <v>0.6377633173</v>
      </c>
      <c r="F87" s="51">
        <v>0.3408179583</v>
      </c>
      <c r="G87" s="51">
        <v>0.3662718569</v>
      </c>
      <c r="H87" s="51">
        <v>0.6623636949</v>
      </c>
      <c r="I87" s="51">
        <v>0.7962962963</v>
      </c>
      <c r="J87" s="51">
        <v>0.7053462466</v>
      </c>
      <c r="K87" s="51">
        <v>0.2649027862</v>
      </c>
      <c r="L87" s="51">
        <v>0.5989393522</v>
      </c>
      <c r="M87" s="51">
        <v>0.3400767632</v>
      </c>
      <c r="N87" s="51">
        <v>0.366225921</v>
      </c>
      <c r="O87" s="51">
        <v>0.8051407625</v>
      </c>
      <c r="P87" s="51">
        <v>0.6907503861</v>
      </c>
      <c r="Q87" s="51">
        <v>0.802316017</v>
      </c>
      <c r="R87" s="51">
        <v>0.790311</v>
      </c>
      <c r="S87" s="51">
        <v>0.615051</v>
      </c>
      <c r="T87" s="51">
        <v>0.926908</v>
      </c>
      <c r="U87" s="51">
        <v>0.914005</v>
      </c>
      <c r="V87" s="51">
        <v>0.91685</v>
      </c>
      <c r="W87" s="52">
        <v>0.889196</v>
      </c>
      <c r="X87" s="51">
        <v>27.83251634</v>
      </c>
      <c r="Y87" s="51">
        <v>83.37287625</v>
      </c>
      <c r="Z87" s="51">
        <v>0.06481481481</v>
      </c>
      <c r="AA87" s="51">
        <v>0.1636181004</v>
      </c>
      <c r="AB87" s="51">
        <v>75.4182458918278</v>
      </c>
      <c r="AC87" s="34" t="s">
        <v>0</v>
      </c>
      <c r="AD87" s="34" t="s">
        <v>0</v>
      </c>
      <c r="AE87" s="34" t="s">
        <v>0</v>
      </c>
      <c r="AF87" s="34" t="s">
        <v>0</v>
      </c>
      <c r="AG87" s="34" t="s">
        <v>0</v>
      </c>
      <c r="AH87" s="34" t="s">
        <v>0</v>
      </c>
      <c r="AI87" s="34" t="s">
        <v>0</v>
      </c>
      <c r="AJ87" s="34" t="s">
        <v>0</v>
      </c>
      <c r="AK87" s="34" t="s">
        <v>0</v>
      </c>
    </row>
    <row r="88" spans="1:37">
      <c r="A88" s="27"/>
      <c r="B88" s="27"/>
      <c r="C88" s="22" t="s">
        <v>41</v>
      </c>
      <c r="D88" s="51">
        <v>0.8035193889</v>
      </c>
      <c r="E88" s="51">
        <v>0.7459653782</v>
      </c>
      <c r="F88" s="51">
        <v>0.5655702787</v>
      </c>
      <c r="G88" s="51">
        <v>0.5830161114</v>
      </c>
      <c r="H88" s="51">
        <v>0.5915335648</v>
      </c>
      <c r="I88" s="51">
        <v>1</v>
      </c>
      <c r="J88" s="51">
        <v>0.6898807764</v>
      </c>
      <c r="K88" s="51">
        <v>0.2772315839</v>
      </c>
      <c r="L88" s="51">
        <v>0.5714109809</v>
      </c>
      <c r="M88" s="51">
        <v>0.2921252158</v>
      </c>
      <c r="N88" s="51">
        <v>0.3188569597</v>
      </c>
      <c r="O88" s="51">
        <v>0.8041473672</v>
      </c>
      <c r="P88" s="51">
        <v>0.9923983308</v>
      </c>
      <c r="Q88" s="51">
        <v>0.879234072</v>
      </c>
      <c r="R88" s="51">
        <v>0.771414</v>
      </c>
      <c r="S88" s="51">
        <v>0.60575</v>
      </c>
      <c r="T88" s="51">
        <v>0.912285</v>
      </c>
      <c r="U88" s="51">
        <v>0.901934</v>
      </c>
      <c r="V88" s="51">
        <v>0.900721</v>
      </c>
      <c r="W88" s="52">
        <v>0.874705</v>
      </c>
      <c r="X88" s="51">
        <v>37.5</v>
      </c>
      <c r="Y88" s="51">
        <v>3.99382716</v>
      </c>
      <c r="Z88" s="51">
        <v>0.1481481481</v>
      </c>
      <c r="AA88" s="51">
        <v>6.914371458</v>
      </c>
      <c r="AB88" s="51">
        <v>3.31853683936475</v>
      </c>
      <c r="AC88" s="34" t="s">
        <v>0</v>
      </c>
      <c r="AD88" s="34" t="s">
        <v>0</v>
      </c>
      <c r="AE88" s="34" t="s">
        <v>0</v>
      </c>
      <c r="AF88" s="34" t="s">
        <v>0</v>
      </c>
      <c r="AG88" s="34" t="s">
        <v>0</v>
      </c>
      <c r="AH88" s="34" t="s">
        <v>0</v>
      </c>
      <c r="AI88" s="34" t="s">
        <v>0</v>
      </c>
      <c r="AJ88" s="34" t="s">
        <v>0</v>
      </c>
      <c r="AK88" s="34" t="s">
        <v>0</v>
      </c>
    </row>
    <row r="89" spans="1:37">
      <c r="A89" s="27"/>
      <c r="B89" s="27"/>
      <c r="C89" s="22" t="s">
        <v>42</v>
      </c>
      <c r="D89" s="51">
        <v>0.9531368197</v>
      </c>
      <c r="E89" s="51">
        <v>0.6681756574</v>
      </c>
      <c r="F89" s="51">
        <v>0.1297947103</v>
      </c>
      <c r="G89" s="51">
        <v>0.1837567882</v>
      </c>
      <c r="H89" s="51">
        <v>0.6587443625</v>
      </c>
      <c r="I89" s="51">
        <v>0.8518518519</v>
      </c>
      <c r="J89" s="51">
        <v>0.7280300191</v>
      </c>
      <c r="K89" s="51">
        <v>0.06235929463</v>
      </c>
      <c r="L89" s="51">
        <v>0.6587443625</v>
      </c>
      <c r="M89" s="51">
        <v>0.1742574071</v>
      </c>
      <c r="N89" s="51">
        <v>0.271164156</v>
      </c>
      <c r="O89" s="51">
        <v>0.8355753857</v>
      </c>
      <c r="P89" s="51">
        <v>0.7739654615</v>
      </c>
      <c r="Q89" s="51">
        <v>0.8556841411</v>
      </c>
      <c r="R89" s="51">
        <v>0.726038</v>
      </c>
      <c r="S89" s="51">
        <v>0.511806</v>
      </c>
      <c r="T89" s="51">
        <v>0.906046</v>
      </c>
      <c r="U89" s="51">
        <v>0.897263</v>
      </c>
      <c r="V89" s="51">
        <v>0.890756</v>
      </c>
      <c r="W89" s="52">
        <v>0.861781</v>
      </c>
      <c r="X89" s="51">
        <v>29.93939394</v>
      </c>
      <c r="Y89" s="51">
        <v>40.53623188</v>
      </c>
      <c r="Z89" s="51">
        <v>0.07407407407</v>
      </c>
      <c r="AA89" s="51">
        <v>2.607175188</v>
      </c>
      <c r="AB89" s="51">
        <v>6.32587412587413</v>
      </c>
      <c r="AC89" s="34" t="s">
        <v>0</v>
      </c>
      <c r="AD89" s="34" t="s">
        <v>0</v>
      </c>
      <c r="AE89" s="34" t="s">
        <v>0</v>
      </c>
      <c r="AF89" s="34" t="s">
        <v>0</v>
      </c>
      <c r="AG89" s="34" t="s">
        <v>0</v>
      </c>
      <c r="AH89" s="34" t="s">
        <v>0</v>
      </c>
      <c r="AI89" s="34" t="s">
        <v>0</v>
      </c>
      <c r="AJ89" s="34" t="s">
        <v>0</v>
      </c>
      <c r="AK89" s="34" t="s">
        <v>0</v>
      </c>
    </row>
    <row r="90" spans="1:37">
      <c r="A90" s="27"/>
      <c r="B90" s="27"/>
      <c r="C90" s="22" t="s">
        <v>43</v>
      </c>
      <c r="D90" s="51">
        <v>0.9632559928</v>
      </c>
      <c r="E90" s="51">
        <v>0.7861492519</v>
      </c>
      <c r="F90" s="51">
        <v>0.3554823508</v>
      </c>
      <c r="G90" s="51">
        <v>0.4095431867</v>
      </c>
      <c r="H90" s="51">
        <v>0.6395638451</v>
      </c>
      <c r="I90" s="51">
        <v>1</v>
      </c>
      <c r="J90" s="51">
        <v>0.7392823628</v>
      </c>
      <c r="K90" s="51">
        <v>0.2243236071</v>
      </c>
      <c r="L90" s="51">
        <v>0.6309114865</v>
      </c>
      <c r="M90" s="51">
        <v>0.2873978653</v>
      </c>
      <c r="N90" s="51">
        <v>0.326149637</v>
      </c>
      <c r="O90" s="51">
        <v>0.825918166</v>
      </c>
      <c r="P90" s="51">
        <v>0.968877037</v>
      </c>
      <c r="Q90" s="51">
        <v>0.878624762</v>
      </c>
      <c r="R90" s="51">
        <v>0.75343</v>
      </c>
      <c r="S90" s="51">
        <v>0.566383</v>
      </c>
      <c r="T90" s="51">
        <v>0.902113</v>
      </c>
      <c r="U90" s="51">
        <v>0.888359</v>
      </c>
      <c r="V90" s="51">
        <v>0.890281</v>
      </c>
      <c r="W90" s="52">
        <v>0.857082</v>
      </c>
      <c r="X90" s="51">
        <v>29.78125</v>
      </c>
      <c r="Y90" s="51">
        <v>10.79012346</v>
      </c>
      <c r="Z90" s="51">
        <v>0.03703703704</v>
      </c>
      <c r="AA90" s="51">
        <v>1.926809608</v>
      </c>
      <c r="AB90" s="51">
        <v>11.1127544529262</v>
      </c>
      <c r="AC90" s="34" t="s">
        <v>0</v>
      </c>
      <c r="AD90" s="34" t="s">
        <v>0</v>
      </c>
      <c r="AE90" s="34" t="s">
        <v>0</v>
      </c>
      <c r="AF90" s="34" t="s">
        <v>0</v>
      </c>
      <c r="AG90" s="34" t="s">
        <v>0</v>
      </c>
      <c r="AH90" s="34" t="s">
        <v>0</v>
      </c>
      <c r="AI90" s="34" t="s">
        <v>0</v>
      </c>
      <c r="AJ90" s="34" t="s">
        <v>0</v>
      </c>
      <c r="AK90" s="34" t="s">
        <v>0</v>
      </c>
    </row>
    <row r="91" spans="1:37">
      <c r="A91" s="27"/>
      <c r="B91" s="27"/>
      <c r="C91" s="22" t="s">
        <v>44</v>
      </c>
      <c r="D91" s="51">
        <v>0.8594492119</v>
      </c>
      <c r="E91" s="51">
        <v>0.7423381192</v>
      </c>
      <c r="F91" s="51">
        <v>0.3347464264</v>
      </c>
      <c r="G91" s="51">
        <v>0.3791491738</v>
      </c>
      <c r="H91" s="51">
        <v>0.6793861192</v>
      </c>
      <c r="I91" s="51">
        <v>0.9675925926</v>
      </c>
      <c r="J91" s="51">
        <v>0.7667247812</v>
      </c>
      <c r="K91" s="51">
        <v>0.1758604818</v>
      </c>
      <c r="L91" s="51">
        <v>0.6716128376</v>
      </c>
      <c r="M91" s="51">
        <v>0.2330723292</v>
      </c>
      <c r="N91" s="51">
        <v>0.3125787897</v>
      </c>
      <c r="O91" s="51">
        <v>0.8076543861</v>
      </c>
      <c r="P91" s="51">
        <v>0.9223982311</v>
      </c>
      <c r="Q91" s="51">
        <v>0.8551630104</v>
      </c>
      <c r="R91" s="51">
        <v>0.768253</v>
      </c>
      <c r="S91" s="51">
        <v>0.607293</v>
      </c>
      <c r="T91" s="51">
        <v>0.919038</v>
      </c>
      <c r="U91" s="51">
        <v>0.916278</v>
      </c>
      <c r="V91" s="51">
        <v>0.90693</v>
      </c>
      <c r="W91" s="52">
        <v>0.888406</v>
      </c>
      <c r="X91" s="51">
        <v>36.17176274</v>
      </c>
      <c r="Y91" s="51">
        <v>28.30360817</v>
      </c>
      <c r="Z91" s="51">
        <v>0.1435185185</v>
      </c>
      <c r="AA91" s="51">
        <v>7.679113084</v>
      </c>
      <c r="AB91" s="51">
        <v>8.06078748869566</v>
      </c>
      <c r="AC91" s="34" t="s">
        <v>0</v>
      </c>
      <c r="AD91" s="34" t="s">
        <v>0</v>
      </c>
      <c r="AE91" s="34" t="s">
        <v>0</v>
      </c>
      <c r="AF91" s="34" t="s">
        <v>0</v>
      </c>
      <c r="AG91" s="34" t="s">
        <v>0</v>
      </c>
      <c r="AH91" s="34" t="s">
        <v>0</v>
      </c>
      <c r="AI91" s="34" t="s">
        <v>0</v>
      </c>
      <c r="AJ91" s="34" t="s">
        <v>0</v>
      </c>
      <c r="AK91" s="34" t="s">
        <v>0</v>
      </c>
    </row>
    <row r="92" spans="1:37">
      <c r="A92" s="27"/>
      <c r="B92" s="28"/>
      <c r="C92" s="22" t="s">
        <v>45</v>
      </c>
      <c r="D92" s="51">
        <v>0.8995399249</v>
      </c>
      <c r="E92" s="51">
        <v>0.7838977334</v>
      </c>
      <c r="F92" s="51">
        <v>0.4281495038</v>
      </c>
      <c r="G92" s="51">
        <v>0.483793712</v>
      </c>
      <c r="H92" s="51">
        <v>0.6278115587</v>
      </c>
      <c r="I92" s="51">
        <v>1</v>
      </c>
      <c r="J92" s="51">
        <v>0.7305452506</v>
      </c>
      <c r="K92" s="51">
        <v>0.2164704292</v>
      </c>
      <c r="L92" s="51">
        <v>0.6193823369</v>
      </c>
      <c r="M92" s="51">
        <v>0.289238576</v>
      </c>
      <c r="N92" s="51">
        <v>0.322627643</v>
      </c>
      <c r="O92" s="51">
        <v>0.8316489974</v>
      </c>
      <c r="P92" s="51">
        <v>0.983360216</v>
      </c>
      <c r="Q92" s="51">
        <v>0.8937509439</v>
      </c>
      <c r="R92" s="51">
        <v>0.769532</v>
      </c>
      <c r="S92" s="51">
        <v>0.5993</v>
      </c>
      <c r="T92" s="51">
        <v>0.912577</v>
      </c>
      <c r="U92" s="51">
        <v>0.901983</v>
      </c>
      <c r="V92" s="51">
        <v>0.901102</v>
      </c>
      <c r="W92" s="52">
        <v>0.872452</v>
      </c>
      <c r="X92" s="51">
        <v>34.96296296</v>
      </c>
      <c r="Y92" s="51">
        <v>6.783950617</v>
      </c>
      <c r="Z92" s="51">
        <v>0.07407407407</v>
      </c>
      <c r="AA92" s="51">
        <v>4.144694255</v>
      </c>
      <c r="AB92" s="51">
        <v>5.42532751091703</v>
      </c>
      <c r="AC92" s="34" t="s">
        <v>0</v>
      </c>
      <c r="AD92" s="34" t="s">
        <v>0</v>
      </c>
      <c r="AE92" s="34" t="s">
        <v>0</v>
      </c>
      <c r="AF92" s="34" t="s">
        <v>0</v>
      </c>
      <c r="AG92" s="34" t="s">
        <v>0</v>
      </c>
      <c r="AH92" s="34" t="s">
        <v>0</v>
      </c>
      <c r="AI92" s="34" t="s">
        <v>0</v>
      </c>
      <c r="AJ92" s="34" t="s">
        <v>0</v>
      </c>
      <c r="AK92" s="34" t="s">
        <v>0</v>
      </c>
    </row>
    <row r="93" spans="1:37">
      <c r="A93" s="27"/>
      <c r="B93" s="30" t="s">
        <v>46</v>
      </c>
      <c r="C93" s="22" t="s">
        <v>47</v>
      </c>
      <c r="D93" s="51">
        <v>0.9993179479</v>
      </c>
      <c r="E93" s="51">
        <v>0.625308642</v>
      </c>
      <c r="F93" s="51">
        <v>0.0008821000581</v>
      </c>
      <c r="G93" s="51">
        <v>0.001760530489</v>
      </c>
      <c r="H93" s="51">
        <v>0.625308642</v>
      </c>
      <c r="I93" s="51">
        <v>0.7407407407</v>
      </c>
      <c r="J93" s="51">
        <v>0.6680027791</v>
      </c>
      <c r="K93" s="51">
        <v>0.001275643967</v>
      </c>
      <c r="L93" s="51">
        <v>0.625308642</v>
      </c>
      <c r="M93" s="51">
        <v>0.1486595766</v>
      </c>
      <c r="N93" s="51">
        <v>0.2376758964</v>
      </c>
      <c r="O93" s="51">
        <v>0.7422644891</v>
      </c>
      <c r="P93" s="51">
        <v>0.6260615066</v>
      </c>
      <c r="Q93" s="51">
        <v>0.6752761946</v>
      </c>
      <c r="R93" s="51">
        <v>0.708301</v>
      </c>
      <c r="S93" s="51">
        <v>0.521288</v>
      </c>
      <c r="T93" s="51">
        <v>0.905805</v>
      </c>
      <c r="U93" s="51">
        <v>0.891576</v>
      </c>
      <c r="V93" s="51">
        <v>0.890883</v>
      </c>
      <c r="W93" s="52">
        <v>0.856252</v>
      </c>
      <c r="X93" s="51">
        <v>20.44444444</v>
      </c>
      <c r="Y93" s="51">
        <v>86.44166667</v>
      </c>
      <c r="Z93" s="51">
        <v>0</v>
      </c>
      <c r="AA93" s="51">
        <v>0.09821550366</v>
      </c>
      <c r="AB93" s="51">
        <v>170.222222222222</v>
      </c>
      <c r="AC93" s="34" t="s">
        <v>0</v>
      </c>
      <c r="AD93" s="34" t="s">
        <v>0</v>
      </c>
      <c r="AE93" s="34" t="s">
        <v>0</v>
      </c>
      <c r="AF93" s="34" t="s">
        <v>0</v>
      </c>
      <c r="AG93" s="34" t="s">
        <v>0</v>
      </c>
      <c r="AH93" s="34" t="s">
        <v>0</v>
      </c>
      <c r="AI93" s="34" t="s">
        <v>0</v>
      </c>
      <c r="AJ93" s="34" t="s">
        <v>0</v>
      </c>
      <c r="AK93" s="34" t="s">
        <v>0</v>
      </c>
    </row>
    <row r="94" spans="1:37">
      <c r="A94" s="27"/>
      <c r="B94" s="27"/>
      <c r="C94" s="22" t="s">
        <v>48</v>
      </c>
      <c r="D94" s="51">
        <v>0.9987475043</v>
      </c>
      <c r="E94" s="51">
        <v>0.3029439696</v>
      </c>
      <c r="F94" s="51">
        <v>0.0005782965691</v>
      </c>
      <c r="G94" s="51">
        <v>0.001154109026</v>
      </c>
      <c r="H94" s="51">
        <v>0.3029439696</v>
      </c>
      <c r="I94" s="51">
        <v>0.4074074074</v>
      </c>
      <c r="J94" s="51">
        <v>0.3412992357</v>
      </c>
      <c r="K94" s="51">
        <v>0.0003734204207</v>
      </c>
      <c r="L94" s="51">
        <v>0.3029439696</v>
      </c>
      <c r="M94" s="51">
        <v>0.08163115436</v>
      </c>
      <c r="N94" s="51">
        <v>0.1267496742</v>
      </c>
      <c r="O94" s="51">
        <v>0.7412880181</v>
      </c>
      <c r="P94" s="51">
        <v>0.3867748516</v>
      </c>
      <c r="Q94" s="51">
        <v>0.7923461553</v>
      </c>
      <c r="R94" s="51">
        <v>0.699652</v>
      </c>
      <c r="S94" s="51">
        <v>0.486246</v>
      </c>
      <c r="T94" s="51">
        <v>0.897211</v>
      </c>
      <c r="U94" s="51">
        <v>0.888633</v>
      </c>
      <c r="V94" s="51">
        <v>0.879738</v>
      </c>
      <c r="W94" s="52">
        <v>0.852046</v>
      </c>
      <c r="X94" s="51">
        <v>40.81481481</v>
      </c>
      <c r="Y94" s="51">
        <v>54.92424242</v>
      </c>
      <c r="Z94" s="51">
        <v>0.07407407407</v>
      </c>
      <c r="AA94" s="51">
        <v>0.1803593795</v>
      </c>
      <c r="AB94" s="51">
        <v>120.771929824561</v>
      </c>
      <c r="AC94" s="34" t="s">
        <v>0</v>
      </c>
      <c r="AD94" s="34" t="s">
        <v>0</v>
      </c>
      <c r="AE94" s="34" t="s">
        <v>0</v>
      </c>
      <c r="AF94" s="34" t="s">
        <v>0</v>
      </c>
      <c r="AG94" s="34" t="s">
        <v>0</v>
      </c>
      <c r="AH94" s="34" t="s">
        <v>0</v>
      </c>
      <c r="AI94" s="34" t="s">
        <v>0</v>
      </c>
      <c r="AJ94" s="34" t="s">
        <v>0</v>
      </c>
      <c r="AK94" s="34" t="s">
        <v>0</v>
      </c>
    </row>
    <row r="95" spans="1:37">
      <c r="A95" s="27"/>
      <c r="B95" s="27"/>
      <c r="C95" s="22" t="s">
        <v>49</v>
      </c>
      <c r="D95" s="51">
        <v>0.9997395801</v>
      </c>
      <c r="E95" s="51">
        <v>0.6706790123</v>
      </c>
      <c r="F95" s="51">
        <v>0.001021548526</v>
      </c>
      <c r="G95" s="51">
        <v>0.002039058297</v>
      </c>
      <c r="H95" s="51">
        <v>0.6706790123</v>
      </c>
      <c r="I95" s="51">
        <v>0.7777777778</v>
      </c>
      <c r="J95" s="51">
        <v>0.7111111111</v>
      </c>
      <c r="K95" s="51">
        <v>0.001419903931</v>
      </c>
      <c r="L95" s="51">
        <v>0.6706790123</v>
      </c>
      <c r="M95" s="51">
        <v>0.1561247033</v>
      </c>
      <c r="N95" s="51">
        <v>0.2510360832</v>
      </c>
      <c r="O95" s="51">
        <v>0.7867431301</v>
      </c>
      <c r="P95" s="51">
        <v>0.6303257411</v>
      </c>
      <c r="Q95" s="51">
        <v>0.7275932242</v>
      </c>
      <c r="R95" s="51">
        <v>0.771799</v>
      </c>
      <c r="S95" s="51">
        <v>0.601442</v>
      </c>
      <c r="T95" s="51">
        <v>0.917281</v>
      </c>
      <c r="U95" s="51">
        <v>0.908352</v>
      </c>
      <c r="V95" s="51">
        <v>0.905386</v>
      </c>
      <c r="W95" s="52">
        <v>0.879043</v>
      </c>
      <c r="X95" s="51">
        <v>23.13888889</v>
      </c>
      <c r="Y95" s="51">
        <v>136.6507937</v>
      </c>
      <c r="Z95" s="51">
        <v>0.03703703704</v>
      </c>
      <c r="AA95" s="51">
        <v>0.03750046504</v>
      </c>
      <c r="AB95" s="51">
        <v>155.027777777778</v>
      </c>
      <c r="AC95" s="34" t="s">
        <v>0</v>
      </c>
      <c r="AD95" s="34" t="s">
        <v>0</v>
      </c>
      <c r="AE95" s="34" t="s">
        <v>0</v>
      </c>
      <c r="AF95" s="34" t="s">
        <v>0</v>
      </c>
      <c r="AG95" s="34" t="s">
        <v>0</v>
      </c>
      <c r="AH95" s="34" t="s">
        <v>0</v>
      </c>
      <c r="AI95" s="34" t="s">
        <v>0</v>
      </c>
      <c r="AJ95" s="34" t="s">
        <v>0</v>
      </c>
      <c r="AK95" s="34" t="s">
        <v>0</v>
      </c>
    </row>
    <row r="96" spans="1:37">
      <c r="A96" s="27"/>
      <c r="B96" s="27"/>
      <c r="C96" s="22" t="s">
        <v>50</v>
      </c>
      <c r="D96" s="51">
        <v>0.94332457</v>
      </c>
      <c r="E96" s="51">
        <v>0.7105427206</v>
      </c>
      <c r="F96" s="51">
        <v>0.04603752083</v>
      </c>
      <c r="G96" s="51">
        <v>0.07634686151</v>
      </c>
      <c r="H96" s="51">
        <v>0.7096926894</v>
      </c>
      <c r="I96" s="51">
        <v>1</v>
      </c>
      <c r="J96" s="51">
        <v>0.8064671748</v>
      </c>
      <c r="K96" s="51">
        <v>0.02586915632</v>
      </c>
      <c r="L96" s="51">
        <v>0.7085468592</v>
      </c>
      <c r="M96" s="51">
        <v>0.2023215406</v>
      </c>
      <c r="N96" s="51">
        <v>0.3059663145</v>
      </c>
      <c r="O96" s="51">
        <v>0.7835505046</v>
      </c>
      <c r="P96" s="51">
        <v>0.9596436452</v>
      </c>
      <c r="Q96" s="51">
        <v>0.8530802236</v>
      </c>
      <c r="R96" s="51">
        <v>0.696622</v>
      </c>
      <c r="S96" s="51">
        <v>0.507388</v>
      </c>
      <c r="T96" s="51">
        <v>0.903117</v>
      </c>
      <c r="U96" s="51">
        <v>0.866899</v>
      </c>
      <c r="V96" s="51">
        <v>0.887197</v>
      </c>
      <c r="W96" s="52">
        <v>0.835465</v>
      </c>
      <c r="X96" s="51">
        <v>36.21036967</v>
      </c>
      <c r="Y96" s="51">
        <v>14.44290123</v>
      </c>
      <c r="Z96" s="51">
        <v>0.1018518519</v>
      </c>
      <c r="AA96" s="51">
        <v>2.051141507</v>
      </c>
      <c r="AB96" s="51">
        <v>14.5153082048594</v>
      </c>
      <c r="AC96" s="34" t="s">
        <v>0</v>
      </c>
      <c r="AD96" s="34" t="s">
        <v>0</v>
      </c>
      <c r="AE96" s="34" t="s">
        <v>0</v>
      </c>
      <c r="AF96" s="34" t="s">
        <v>0</v>
      </c>
      <c r="AG96" s="34" t="s">
        <v>0</v>
      </c>
      <c r="AH96" s="34" t="s">
        <v>0</v>
      </c>
      <c r="AI96" s="34" t="s">
        <v>0</v>
      </c>
      <c r="AJ96" s="34" t="s">
        <v>0</v>
      </c>
      <c r="AK96" s="34" t="s">
        <v>0</v>
      </c>
    </row>
    <row r="97" spans="1:37">
      <c r="A97" s="27"/>
      <c r="B97" s="27"/>
      <c r="C97" s="22" t="s">
        <v>51</v>
      </c>
      <c r="D97" s="51">
        <v>0.9119997768</v>
      </c>
      <c r="E97" s="51">
        <v>0.7292144702</v>
      </c>
      <c r="F97" s="51">
        <v>0.1746078207</v>
      </c>
      <c r="G97" s="51">
        <v>0.2331033002</v>
      </c>
      <c r="H97" s="51">
        <v>0.7076958874</v>
      </c>
      <c r="I97" s="51">
        <v>0.9583333333</v>
      </c>
      <c r="J97" s="51">
        <v>0.7931760847</v>
      </c>
      <c r="K97" s="51">
        <v>0.05882927284</v>
      </c>
      <c r="L97" s="51">
        <v>0.7062477939</v>
      </c>
      <c r="M97" s="51">
        <v>0.1953201209</v>
      </c>
      <c r="N97" s="51">
        <v>0.2980549177</v>
      </c>
      <c r="O97" s="51">
        <v>0.7998941379</v>
      </c>
      <c r="P97" s="51">
        <v>0.9005920946</v>
      </c>
      <c r="Q97" s="51">
        <v>0.8448511619</v>
      </c>
      <c r="R97" s="51">
        <v>0.738061</v>
      </c>
      <c r="S97" s="51">
        <v>0.539895</v>
      </c>
      <c r="T97" s="51">
        <v>0.912351</v>
      </c>
      <c r="U97" s="51">
        <v>0.904163</v>
      </c>
      <c r="V97" s="51">
        <v>0.898632</v>
      </c>
      <c r="W97" s="52">
        <v>0.871887</v>
      </c>
      <c r="X97" s="51">
        <v>34.47648287</v>
      </c>
      <c r="Y97" s="51">
        <v>32.73045267</v>
      </c>
      <c r="Z97" s="51">
        <v>0.08796296296</v>
      </c>
      <c r="AA97" s="51">
        <v>4.745594563</v>
      </c>
      <c r="AB97" s="51">
        <v>14.6683733521031</v>
      </c>
      <c r="AC97" s="34" t="s">
        <v>0</v>
      </c>
      <c r="AD97" s="34" t="s">
        <v>0</v>
      </c>
      <c r="AE97" s="34" t="s">
        <v>0</v>
      </c>
      <c r="AF97" s="34" t="s">
        <v>0</v>
      </c>
      <c r="AG97" s="34" t="s">
        <v>0</v>
      </c>
      <c r="AH97" s="34" t="s">
        <v>0</v>
      </c>
      <c r="AI97" s="34" t="s">
        <v>0</v>
      </c>
      <c r="AJ97" s="34" t="s">
        <v>0</v>
      </c>
      <c r="AK97" s="34" t="s">
        <v>0</v>
      </c>
    </row>
    <row r="98" spans="1:37">
      <c r="A98" s="27"/>
      <c r="B98" s="27"/>
      <c r="C98" s="22" t="s">
        <v>52</v>
      </c>
      <c r="D98" s="51">
        <v>0.9216291125</v>
      </c>
      <c r="E98" s="51">
        <v>0.6941681938</v>
      </c>
      <c r="F98" s="51">
        <v>0.08029711743</v>
      </c>
      <c r="G98" s="51">
        <v>0.1258216025</v>
      </c>
      <c r="H98" s="51">
        <v>0.6948265564</v>
      </c>
      <c r="I98" s="51">
        <v>0.9814814815</v>
      </c>
      <c r="J98" s="51">
        <v>0.7912468912</v>
      </c>
      <c r="K98" s="51">
        <v>0.004344458318</v>
      </c>
      <c r="L98" s="51">
        <v>0.6946666543</v>
      </c>
      <c r="M98" s="51">
        <v>0.1972501038</v>
      </c>
      <c r="N98" s="51">
        <v>0.2998811083</v>
      </c>
      <c r="O98" s="51">
        <v>0.7695039819</v>
      </c>
      <c r="P98" s="51">
        <v>0.9403384143</v>
      </c>
      <c r="Q98" s="51">
        <v>0.8383873316</v>
      </c>
      <c r="R98" s="51">
        <v>0.688778</v>
      </c>
      <c r="S98" s="51">
        <v>0.502606</v>
      </c>
      <c r="T98" s="51">
        <v>0.889061</v>
      </c>
      <c r="U98" s="51">
        <v>0.883488</v>
      </c>
      <c r="V98" s="51">
        <v>0.870019</v>
      </c>
      <c r="W98" s="52">
        <v>0.844946</v>
      </c>
      <c r="X98" s="51">
        <v>39.76023392</v>
      </c>
      <c r="Y98" s="51">
        <v>15.43187831</v>
      </c>
      <c r="Z98" s="51">
        <v>0.1574074074</v>
      </c>
      <c r="AA98" s="51">
        <v>8.506355486</v>
      </c>
      <c r="AB98" s="51">
        <v>20.9487166261872</v>
      </c>
      <c r="AC98" s="34" t="s">
        <v>0</v>
      </c>
      <c r="AD98" s="34" t="s">
        <v>0</v>
      </c>
      <c r="AE98" s="34" t="s">
        <v>0</v>
      </c>
      <c r="AF98" s="34" t="s">
        <v>0</v>
      </c>
      <c r="AG98" s="34" t="s">
        <v>0</v>
      </c>
      <c r="AH98" s="34" t="s">
        <v>0</v>
      </c>
      <c r="AI98" s="34" t="s">
        <v>0</v>
      </c>
      <c r="AJ98" s="34" t="s">
        <v>0</v>
      </c>
      <c r="AK98" s="34" t="s">
        <v>0</v>
      </c>
    </row>
    <row r="99" spans="1:37">
      <c r="A99" s="27"/>
      <c r="B99" s="27"/>
      <c r="C99" s="22" t="s">
        <v>53</v>
      </c>
      <c r="D99" s="51">
        <v>0.9104434579</v>
      </c>
      <c r="E99" s="51">
        <v>0.7199491565</v>
      </c>
      <c r="F99" s="51">
        <v>0.1755090224</v>
      </c>
      <c r="G99" s="51">
        <v>0.2331092925</v>
      </c>
      <c r="H99" s="51">
        <v>0.6990668548</v>
      </c>
      <c r="I99" s="51">
        <v>0.9537037037</v>
      </c>
      <c r="J99" s="51">
        <v>0.7832251415</v>
      </c>
      <c r="K99" s="51">
        <v>0.07741443696</v>
      </c>
      <c r="L99" s="51">
        <v>0.694118754</v>
      </c>
      <c r="M99" s="51">
        <v>0.2004415778</v>
      </c>
      <c r="N99" s="51">
        <v>0.2991112855</v>
      </c>
      <c r="O99" s="51">
        <v>0.7959557968</v>
      </c>
      <c r="P99" s="51">
        <v>0.8929009861</v>
      </c>
      <c r="Q99" s="51">
        <v>0.8406189941</v>
      </c>
      <c r="R99" s="51">
        <v>0.72782</v>
      </c>
      <c r="S99" s="51">
        <v>0.524465</v>
      </c>
      <c r="T99" s="51">
        <v>0.91023</v>
      </c>
      <c r="U99" s="51">
        <v>0.899876</v>
      </c>
      <c r="V99" s="51">
        <v>0.894687</v>
      </c>
      <c r="W99" s="52">
        <v>0.865605</v>
      </c>
      <c r="X99" s="51">
        <v>34.54888262</v>
      </c>
      <c r="Y99" s="51">
        <v>37.79438566</v>
      </c>
      <c r="Z99" s="51">
        <v>0.1296296296</v>
      </c>
      <c r="AA99" s="51">
        <v>3.879289178</v>
      </c>
      <c r="AB99" s="51">
        <v>16.9571943621698</v>
      </c>
      <c r="AC99" s="34" t="s">
        <v>0</v>
      </c>
      <c r="AD99" s="34" t="s">
        <v>0</v>
      </c>
      <c r="AE99" s="34" t="s">
        <v>0</v>
      </c>
      <c r="AF99" s="34" t="s">
        <v>0</v>
      </c>
      <c r="AG99" s="34" t="s">
        <v>0</v>
      </c>
      <c r="AH99" s="34" t="s">
        <v>0</v>
      </c>
      <c r="AI99" s="34" t="s">
        <v>0</v>
      </c>
      <c r="AJ99" s="34" t="s">
        <v>0</v>
      </c>
      <c r="AK99" s="34" t="s">
        <v>0</v>
      </c>
    </row>
    <row r="100" spans="1:37">
      <c r="A100" s="27"/>
      <c r="B100" s="27"/>
      <c r="C100" s="22" t="s">
        <v>54</v>
      </c>
      <c r="D100" s="51">
        <v>0.9995163631</v>
      </c>
      <c r="E100" s="51">
        <v>0.5845679012</v>
      </c>
      <c r="F100" s="51">
        <v>0.0008262803635</v>
      </c>
      <c r="G100" s="51">
        <v>0.001649362676</v>
      </c>
      <c r="H100" s="51">
        <v>0.5845679012</v>
      </c>
      <c r="I100" s="51">
        <v>0.7037037037</v>
      </c>
      <c r="J100" s="51">
        <v>0.6290711346</v>
      </c>
      <c r="K100" s="51">
        <v>0.001129304307</v>
      </c>
      <c r="L100" s="51">
        <v>0.5845679012</v>
      </c>
      <c r="M100" s="51">
        <v>0.1411933609</v>
      </c>
      <c r="N100" s="51">
        <v>0.2250929088</v>
      </c>
      <c r="O100" s="51">
        <v>0.7021878431</v>
      </c>
      <c r="P100" s="51">
        <v>0.5828000489</v>
      </c>
      <c r="Q100" s="51">
        <v>0.6552112434</v>
      </c>
      <c r="R100" s="51">
        <v>0.773333</v>
      </c>
      <c r="S100" s="51">
        <v>0.592832</v>
      </c>
      <c r="T100" s="51">
        <v>0.919203</v>
      </c>
      <c r="U100" s="51">
        <v>0.911605</v>
      </c>
      <c r="V100" s="51">
        <v>0.907078</v>
      </c>
      <c r="W100" s="52">
        <v>0.881342</v>
      </c>
      <c r="X100" s="51">
        <v>40.37037037</v>
      </c>
      <c r="Y100" s="51">
        <v>131.4035088</v>
      </c>
      <c r="Z100" s="51">
        <v>0.1851851852</v>
      </c>
      <c r="AA100" s="51">
        <v>0.06964372078</v>
      </c>
      <c r="AB100" s="51">
        <v>173.527777777778</v>
      </c>
      <c r="AC100" s="34" t="s">
        <v>0</v>
      </c>
      <c r="AD100" s="34" t="s">
        <v>0</v>
      </c>
      <c r="AE100" s="34" t="s">
        <v>0</v>
      </c>
      <c r="AF100" s="34" t="s">
        <v>0</v>
      </c>
      <c r="AG100" s="34" t="s">
        <v>0</v>
      </c>
      <c r="AH100" s="34" t="s">
        <v>0</v>
      </c>
      <c r="AI100" s="34" t="s">
        <v>0</v>
      </c>
      <c r="AJ100" s="34" t="s">
        <v>0</v>
      </c>
      <c r="AK100" s="34" t="s">
        <v>0</v>
      </c>
    </row>
    <row r="101" spans="1:37">
      <c r="A101" s="27"/>
      <c r="B101" s="27"/>
      <c r="C101" s="22" t="s">
        <v>55</v>
      </c>
      <c r="D101" s="51">
        <v>0.8842759087</v>
      </c>
      <c r="E101" s="51">
        <v>0.7288611295</v>
      </c>
      <c r="F101" s="51">
        <v>0.2430440142</v>
      </c>
      <c r="G101" s="51">
        <v>0.2983350715</v>
      </c>
      <c r="H101" s="51">
        <v>0.7052899553</v>
      </c>
      <c r="I101" s="51">
        <v>0.962962963</v>
      </c>
      <c r="J101" s="51">
        <v>0.7916662425</v>
      </c>
      <c r="K101" s="51">
        <v>0.1048081737</v>
      </c>
      <c r="L101" s="51">
        <v>0.700931467</v>
      </c>
      <c r="M101" s="51">
        <v>0.2025570078</v>
      </c>
      <c r="N101" s="51">
        <v>0.303275296</v>
      </c>
      <c r="O101" s="51">
        <v>0.7983334348</v>
      </c>
      <c r="P101" s="51">
        <v>0.9106683712</v>
      </c>
      <c r="Q101" s="51">
        <v>0.8475930133</v>
      </c>
      <c r="R101" s="51">
        <v>0.743376</v>
      </c>
      <c r="S101" s="51">
        <v>0.54199</v>
      </c>
      <c r="T101" s="51">
        <v>0.91891</v>
      </c>
      <c r="U101" s="51">
        <v>0.910493</v>
      </c>
      <c r="V101" s="51">
        <v>0.903016</v>
      </c>
      <c r="W101" s="52">
        <v>0.876042</v>
      </c>
      <c r="X101" s="51">
        <v>35.14117586</v>
      </c>
      <c r="Y101" s="51">
        <v>34.04287919</v>
      </c>
      <c r="Z101" s="51">
        <v>0.1574074074</v>
      </c>
      <c r="AA101" s="51">
        <v>4.237329332</v>
      </c>
      <c r="AB101" s="51">
        <v>13.6123721058754</v>
      </c>
      <c r="AC101" s="34" t="s">
        <v>0</v>
      </c>
      <c r="AD101" s="34" t="s">
        <v>0</v>
      </c>
      <c r="AE101" s="34" t="s">
        <v>0</v>
      </c>
      <c r="AF101" s="34" t="s">
        <v>0</v>
      </c>
      <c r="AG101" s="34" t="s">
        <v>0</v>
      </c>
      <c r="AH101" s="34" t="s">
        <v>0</v>
      </c>
      <c r="AI101" s="34" t="s">
        <v>0</v>
      </c>
      <c r="AJ101" s="34" t="s">
        <v>0</v>
      </c>
      <c r="AK101" s="34" t="s">
        <v>0</v>
      </c>
    </row>
    <row r="102" spans="1:37">
      <c r="A102" s="27"/>
      <c r="B102" s="27"/>
      <c r="C102" s="22" t="s">
        <v>56</v>
      </c>
      <c r="D102" s="51">
        <v>0.9609323652</v>
      </c>
      <c r="E102" s="51">
        <v>0.7216525365</v>
      </c>
      <c r="F102" s="51">
        <v>0.3056286563</v>
      </c>
      <c r="G102" s="51">
        <v>0.3455035479</v>
      </c>
      <c r="H102" s="51">
        <v>0.6309094166</v>
      </c>
      <c r="I102" s="51">
        <v>0.8564814815</v>
      </c>
      <c r="J102" s="51">
        <v>0.7001625587</v>
      </c>
      <c r="K102" s="51">
        <v>0.2135029421</v>
      </c>
      <c r="L102" s="51">
        <v>0.6222388811</v>
      </c>
      <c r="M102" s="51">
        <v>0.2551008162</v>
      </c>
      <c r="N102" s="51">
        <v>0.3034798991</v>
      </c>
      <c r="O102" s="51">
        <v>0.8321356474</v>
      </c>
      <c r="P102" s="51">
        <v>0.7986478282</v>
      </c>
      <c r="Q102" s="51">
        <v>0.8515612164</v>
      </c>
      <c r="R102" s="51">
        <v>0.755486</v>
      </c>
      <c r="S102" s="51">
        <v>0.565424</v>
      </c>
      <c r="T102" s="51">
        <v>0.901653</v>
      </c>
      <c r="U102" s="51">
        <v>0.889038</v>
      </c>
      <c r="V102" s="51">
        <v>0.889488</v>
      </c>
      <c r="W102" s="52">
        <v>0.856131</v>
      </c>
      <c r="X102" s="51">
        <v>30.71530612</v>
      </c>
      <c r="Y102" s="51">
        <v>41.32328571</v>
      </c>
      <c r="Z102" s="51">
        <v>0.05555555556</v>
      </c>
      <c r="AA102" s="51">
        <v>1.163630501</v>
      </c>
      <c r="AB102" s="51">
        <v>20.7384558488956</v>
      </c>
      <c r="AC102" s="34" t="s">
        <v>0</v>
      </c>
      <c r="AD102" s="34" t="s">
        <v>0</v>
      </c>
      <c r="AE102" s="34" t="s">
        <v>0</v>
      </c>
      <c r="AF102" s="34" t="s">
        <v>0</v>
      </c>
      <c r="AG102" s="34" t="s">
        <v>0</v>
      </c>
      <c r="AH102" s="34" t="s">
        <v>0</v>
      </c>
      <c r="AI102" s="34" t="s">
        <v>0</v>
      </c>
      <c r="AJ102" s="34" t="s">
        <v>0</v>
      </c>
      <c r="AK102" s="34" t="s">
        <v>0</v>
      </c>
    </row>
    <row r="103" spans="1:37">
      <c r="A103" s="27"/>
      <c r="B103" s="27"/>
      <c r="C103" s="22" t="s">
        <v>57</v>
      </c>
      <c r="D103" s="51">
        <v>0.9923858183</v>
      </c>
      <c r="E103" s="51">
        <v>0.7585369992</v>
      </c>
      <c r="F103" s="51">
        <v>0.1673704267</v>
      </c>
      <c r="G103" s="51">
        <v>0.1875851294</v>
      </c>
      <c r="H103" s="51">
        <v>0.7980174201</v>
      </c>
      <c r="I103" s="51">
        <v>0.9259259259</v>
      </c>
      <c r="J103" s="51">
        <v>0.8414313544</v>
      </c>
      <c r="K103" s="51">
        <v>0.1571362156</v>
      </c>
      <c r="L103" s="51">
        <v>0.7705461936</v>
      </c>
      <c r="M103" s="51">
        <v>0.2900477</v>
      </c>
      <c r="N103" s="51">
        <v>0.3662635047</v>
      </c>
      <c r="O103" s="51">
        <v>0.8285672897</v>
      </c>
      <c r="P103" s="51">
        <v>0.8174719011</v>
      </c>
      <c r="Q103" s="51">
        <v>0.8146871836</v>
      </c>
      <c r="R103" s="51">
        <v>0.764652</v>
      </c>
      <c r="S103" s="51">
        <v>0.625368</v>
      </c>
      <c r="T103" s="51">
        <v>0.914576</v>
      </c>
      <c r="U103" s="51">
        <v>0.910226</v>
      </c>
      <c r="V103" s="51">
        <v>0.904434</v>
      </c>
      <c r="W103" s="52">
        <v>0.888498</v>
      </c>
      <c r="X103" s="51">
        <v>18.5</v>
      </c>
      <c r="Y103" s="51">
        <v>79.71333333</v>
      </c>
      <c r="Z103" s="51">
        <v>0.03703703704</v>
      </c>
      <c r="AA103" s="51">
        <v>0.1732164337</v>
      </c>
      <c r="AB103" s="51">
        <v>41.1089743589744</v>
      </c>
      <c r="AC103" s="34" t="s">
        <v>0</v>
      </c>
      <c r="AD103" s="34" t="s">
        <v>0</v>
      </c>
      <c r="AE103" s="34" t="s">
        <v>0</v>
      </c>
      <c r="AF103" s="34" t="s">
        <v>0</v>
      </c>
      <c r="AG103" s="34" t="s">
        <v>0</v>
      </c>
      <c r="AH103" s="34" t="s">
        <v>0</v>
      </c>
      <c r="AI103" s="34" t="s">
        <v>0</v>
      </c>
      <c r="AJ103" s="34" t="s">
        <v>0</v>
      </c>
      <c r="AK103" s="34" t="s">
        <v>0</v>
      </c>
    </row>
    <row r="104" spans="1:37">
      <c r="A104" s="27"/>
      <c r="B104" s="27"/>
      <c r="C104" s="22" t="s">
        <v>58</v>
      </c>
      <c r="D104" s="51">
        <v>0.9246130904</v>
      </c>
      <c r="E104" s="51">
        <v>0.6228124974</v>
      </c>
      <c r="F104" s="51">
        <v>0.1305250388</v>
      </c>
      <c r="G104" s="51">
        <v>0.1858473908</v>
      </c>
      <c r="H104" s="51">
        <v>0.6410113561</v>
      </c>
      <c r="I104" s="51">
        <v>0.837962963</v>
      </c>
      <c r="J104" s="51">
        <v>0.7061019125</v>
      </c>
      <c r="K104" s="51">
        <v>0.07037787261</v>
      </c>
      <c r="L104" s="51">
        <v>0.6278583523</v>
      </c>
      <c r="M104" s="51">
        <v>0.1807821238</v>
      </c>
      <c r="N104" s="51">
        <v>0.2690576285</v>
      </c>
      <c r="O104" s="51">
        <v>0.762635957</v>
      </c>
      <c r="P104" s="51">
        <v>0.7517872183</v>
      </c>
      <c r="Q104" s="51">
        <v>0.783436763</v>
      </c>
      <c r="R104" s="51">
        <v>0.723608</v>
      </c>
      <c r="S104" s="51">
        <v>0.505931</v>
      </c>
      <c r="T104" s="51">
        <v>0.906803</v>
      </c>
      <c r="U104" s="51">
        <v>0.900096</v>
      </c>
      <c r="V104" s="51">
        <v>0.892006</v>
      </c>
      <c r="W104" s="52">
        <v>0.865794</v>
      </c>
      <c r="X104" s="51">
        <v>27.14638448</v>
      </c>
      <c r="Y104" s="51">
        <v>62.37267784</v>
      </c>
      <c r="Z104" s="51">
        <v>0.04166666667</v>
      </c>
      <c r="AA104" s="51">
        <v>1.208273912</v>
      </c>
      <c r="AB104" s="51">
        <v>25.355323499402</v>
      </c>
      <c r="AC104" s="34" t="s">
        <v>0</v>
      </c>
      <c r="AD104" s="34" t="s">
        <v>0</v>
      </c>
      <c r="AE104" s="34" t="s">
        <v>0</v>
      </c>
      <c r="AF104" s="34" t="s">
        <v>0</v>
      </c>
      <c r="AG104" s="34" t="s">
        <v>0</v>
      </c>
      <c r="AH104" s="34" t="s">
        <v>0</v>
      </c>
      <c r="AI104" s="34" t="s">
        <v>0</v>
      </c>
      <c r="AJ104" s="34" t="s">
        <v>0</v>
      </c>
      <c r="AK104" s="34" t="s">
        <v>0</v>
      </c>
    </row>
    <row r="105" spans="1:37">
      <c r="A105" s="27"/>
      <c r="B105" s="27"/>
      <c r="C105" s="22" t="s">
        <v>59</v>
      </c>
      <c r="D105" s="51">
        <v>0.8834264438</v>
      </c>
      <c r="E105" s="51">
        <v>0.6687990405</v>
      </c>
      <c r="F105" s="51">
        <v>0.3055548107</v>
      </c>
      <c r="G105" s="51">
        <v>0.3412675626</v>
      </c>
      <c r="H105" s="51">
        <v>0.6813397312</v>
      </c>
      <c r="I105" s="51">
        <v>0.8148148148</v>
      </c>
      <c r="J105" s="51">
        <v>0.7231206974</v>
      </c>
      <c r="K105" s="51">
        <v>0.2436442918</v>
      </c>
      <c r="L105" s="51">
        <v>0.6364785726</v>
      </c>
      <c r="M105" s="51">
        <v>0.3052251676</v>
      </c>
      <c r="N105" s="51">
        <v>0.3554384193</v>
      </c>
      <c r="O105" s="51">
        <v>0.8048774916</v>
      </c>
      <c r="P105" s="51">
        <v>0.7248489155</v>
      </c>
      <c r="Q105" s="51">
        <v>0.7950175671</v>
      </c>
      <c r="R105" s="51">
        <v>0.769009</v>
      </c>
      <c r="S105" s="51">
        <v>0.580137</v>
      </c>
      <c r="T105" s="51">
        <v>0.915802</v>
      </c>
      <c r="U105" s="51">
        <v>0.905215</v>
      </c>
      <c r="V105" s="51">
        <v>0.901926</v>
      </c>
      <c r="W105" s="52">
        <v>0.871059</v>
      </c>
      <c r="X105" s="51">
        <v>27.34697421</v>
      </c>
      <c r="Y105" s="51">
        <v>81.53636096</v>
      </c>
      <c r="Z105" s="51">
        <v>0.06481481481</v>
      </c>
      <c r="AA105" s="51">
        <v>0.3006733714</v>
      </c>
      <c r="AB105" s="51">
        <v>39.8694826080196</v>
      </c>
      <c r="AC105" s="34" t="s">
        <v>0</v>
      </c>
      <c r="AD105" s="34" t="s">
        <v>0</v>
      </c>
      <c r="AE105" s="34" t="s">
        <v>0</v>
      </c>
      <c r="AF105" s="34" t="s">
        <v>0</v>
      </c>
      <c r="AG105" s="34" t="s">
        <v>0</v>
      </c>
      <c r="AH105" s="34" t="s">
        <v>0</v>
      </c>
      <c r="AI105" s="34" t="s">
        <v>0</v>
      </c>
      <c r="AJ105" s="34" t="s">
        <v>0</v>
      </c>
      <c r="AK105" s="34" t="s">
        <v>0</v>
      </c>
    </row>
    <row r="106" spans="1:37">
      <c r="A106" s="27"/>
      <c r="B106" s="27"/>
      <c r="C106" s="22" t="s">
        <v>60</v>
      </c>
      <c r="D106" s="51">
        <v>0.7902720768</v>
      </c>
      <c r="E106" s="51">
        <v>0.7262848059</v>
      </c>
      <c r="F106" s="51">
        <v>0.3485028892</v>
      </c>
      <c r="G106" s="51">
        <v>0.3763721869</v>
      </c>
      <c r="H106" s="51">
        <v>0.6781732634</v>
      </c>
      <c r="I106" s="51">
        <v>0.9305555556</v>
      </c>
      <c r="J106" s="51">
        <v>0.7485760668</v>
      </c>
      <c r="K106" s="51">
        <v>0.1904140457</v>
      </c>
      <c r="L106" s="51">
        <v>0.6551469415</v>
      </c>
      <c r="M106" s="51">
        <v>0.2510727592</v>
      </c>
      <c r="N106" s="51">
        <v>0.3013937949</v>
      </c>
      <c r="O106" s="51">
        <v>0.8243393508</v>
      </c>
      <c r="P106" s="51">
        <v>0.874350572</v>
      </c>
      <c r="Q106" s="51">
        <v>0.8593307808</v>
      </c>
      <c r="R106" s="51">
        <v>0.798666</v>
      </c>
      <c r="S106" s="51">
        <v>0.642133</v>
      </c>
      <c r="T106" s="51">
        <v>0.933457</v>
      </c>
      <c r="U106" s="51">
        <v>0.929722</v>
      </c>
      <c r="V106" s="51">
        <v>0.921315</v>
      </c>
      <c r="W106" s="52">
        <v>0.904408</v>
      </c>
      <c r="X106" s="51">
        <v>22.58287385</v>
      </c>
      <c r="Y106" s="51">
        <v>29.59063051</v>
      </c>
      <c r="Z106" s="51">
        <v>0.06944444444</v>
      </c>
      <c r="AA106" s="51">
        <v>2.751819839</v>
      </c>
      <c r="AB106" s="51">
        <v>16.8033153016589</v>
      </c>
      <c r="AC106" s="34" t="s">
        <v>0</v>
      </c>
      <c r="AD106" s="34" t="s">
        <v>0</v>
      </c>
      <c r="AE106" s="34" t="s">
        <v>0</v>
      </c>
      <c r="AF106" s="34" t="s">
        <v>0</v>
      </c>
      <c r="AG106" s="34" t="s">
        <v>0</v>
      </c>
      <c r="AH106" s="34" t="s">
        <v>0</v>
      </c>
      <c r="AI106" s="34" t="s">
        <v>0</v>
      </c>
      <c r="AJ106" s="34" t="s">
        <v>0</v>
      </c>
      <c r="AK106" s="34" t="s">
        <v>0</v>
      </c>
    </row>
    <row r="107" spans="1:37">
      <c r="A107" s="27"/>
      <c r="B107" s="27"/>
      <c r="C107" s="22" t="s">
        <v>61</v>
      </c>
      <c r="D107" s="51">
        <v>0.9246657945</v>
      </c>
      <c r="E107" s="51">
        <v>0.4915929801</v>
      </c>
      <c r="F107" s="51">
        <v>0.2661203975</v>
      </c>
      <c r="G107" s="51">
        <v>0.2969544471</v>
      </c>
      <c r="H107" s="51">
        <v>0.5310712307</v>
      </c>
      <c r="I107" s="51">
        <v>0.6111111111</v>
      </c>
      <c r="J107" s="51">
        <v>0.5581802383</v>
      </c>
      <c r="K107" s="51">
        <v>0.2308106759</v>
      </c>
      <c r="L107" s="51">
        <v>0.4792650503</v>
      </c>
      <c r="M107" s="51">
        <v>0.2720477339</v>
      </c>
      <c r="N107" s="51">
        <v>0.3041605125</v>
      </c>
      <c r="O107" s="51">
        <v>0.7706317186</v>
      </c>
      <c r="P107" s="51">
        <v>0.5422971812</v>
      </c>
      <c r="Q107" s="51">
        <v>0.7738721907</v>
      </c>
      <c r="R107" s="51">
        <v>0.750864</v>
      </c>
      <c r="S107" s="51">
        <v>0.547398</v>
      </c>
      <c r="T107" s="51">
        <v>0.899015</v>
      </c>
      <c r="U107" s="51">
        <v>0.884159</v>
      </c>
      <c r="V107" s="51">
        <v>0.888879</v>
      </c>
      <c r="W107" s="52">
        <v>0.853303</v>
      </c>
      <c r="X107" s="51">
        <v>28.94494048</v>
      </c>
      <c r="Y107" s="51">
        <v>77.35441652</v>
      </c>
      <c r="Z107" s="51">
        <v>0.0462962963</v>
      </c>
      <c r="AA107" s="51">
        <v>0.1053584494</v>
      </c>
      <c r="AB107" s="51">
        <v>54.8077085016416</v>
      </c>
      <c r="AC107" s="34" t="s">
        <v>0</v>
      </c>
      <c r="AD107" s="34" t="s">
        <v>0</v>
      </c>
      <c r="AE107" s="34" t="s">
        <v>0</v>
      </c>
      <c r="AF107" s="34" t="s">
        <v>0</v>
      </c>
      <c r="AG107" s="34" t="s">
        <v>0</v>
      </c>
      <c r="AH107" s="34" t="s">
        <v>0</v>
      </c>
      <c r="AI107" s="34" t="s">
        <v>0</v>
      </c>
      <c r="AJ107" s="34" t="s">
        <v>0</v>
      </c>
      <c r="AK107" s="34" t="s">
        <v>0</v>
      </c>
    </row>
    <row r="108" spans="1:37">
      <c r="A108" s="27"/>
      <c r="B108" s="27"/>
      <c r="C108" s="22" t="s">
        <v>62</v>
      </c>
      <c r="D108" s="51">
        <v>0.9241914582</v>
      </c>
      <c r="E108" s="51">
        <v>0.5958868967</v>
      </c>
      <c r="F108" s="51">
        <v>0.2494971932</v>
      </c>
      <c r="G108" s="51">
        <v>0.2936243402</v>
      </c>
      <c r="H108" s="51">
        <v>0.6008006288</v>
      </c>
      <c r="I108" s="51">
        <v>0.7175925926</v>
      </c>
      <c r="J108" s="51">
        <v>0.6402400587</v>
      </c>
      <c r="K108" s="51">
        <v>0.1989400296</v>
      </c>
      <c r="L108" s="51">
        <v>0.5865520402</v>
      </c>
      <c r="M108" s="51">
        <v>0.2338059525</v>
      </c>
      <c r="N108" s="51">
        <v>0.2972661203</v>
      </c>
      <c r="O108" s="51">
        <v>0.7773149385</v>
      </c>
      <c r="P108" s="51">
        <v>0.6367975644</v>
      </c>
      <c r="Q108" s="51">
        <v>0.7700395399</v>
      </c>
      <c r="R108" s="51">
        <v>0.753728</v>
      </c>
      <c r="S108" s="51">
        <v>0.564162</v>
      </c>
      <c r="T108" s="51">
        <v>0.897409</v>
      </c>
      <c r="U108" s="51">
        <v>0.886141</v>
      </c>
      <c r="V108" s="51">
        <v>0.887056</v>
      </c>
      <c r="W108" s="52">
        <v>0.857307</v>
      </c>
      <c r="X108" s="51">
        <v>27.65696649</v>
      </c>
      <c r="Y108" s="51">
        <v>69.06843768</v>
      </c>
      <c r="Z108" s="51">
        <v>0.009259259259</v>
      </c>
      <c r="AA108" s="51">
        <v>0.3560312008</v>
      </c>
      <c r="AB108" s="51">
        <v>26.2957878378499</v>
      </c>
      <c r="AC108" s="34" t="s">
        <v>0</v>
      </c>
      <c r="AD108" s="34" t="s">
        <v>0</v>
      </c>
      <c r="AE108" s="34" t="s">
        <v>0</v>
      </c>
      <c r="AF108" s="34" t="s">
        <v>0</v>
      </c>
      <c r="AG108" s="34" t="s">
        <v>0</v>
      </c>
      <c r="AH108" s="34" t="s">
        <v>0</v>
      </c>
      <c r="AI108" s="34" t="s">
        <v>0</v>
      </c>
      <c r="AJ108" s="34" t="s">
        <v>0</v>
      </c>
      <c r="AK108" s="34" t="s">
        <v>0</v>
      </c>
    </row>
    <row r="109" spans="1:37">
      <c r="A109" s="27"/>
      <c r="B109" s="27"/>
      <c r="C109" s="22" t="s">
        <v>63</v>
      </c>
      <c r="D109" s="51">
        <v>0.916335458</v>
      </c>
      <c r="E109" s="51">
        <v>0.4970863376</v>
      </c>
      <c r="F109" s="51">
        <v>0.2535043776</v>
      </c>
      <c r="G109" s="51">
        <v>0.2898959983</v>
      </c>
      <c r="H109" s="51">
        <v>0.5391827038</v>
      </c>
      <c r="I109" s="51">
        <v>0.6481481481</v>
      </c>
      <c r="J109" s="51">
        <v>0.574618723</v>
      </c>
      <c r="K109" s="51">
        <v>0.2072877703</v>
      </c>
      <c r="L109" s="51">
        <v>0.4823545968</v>
      </c>
      <c r="M109" s="51">
        <v>0.2447892979</v>
      </c>
      <c r="N109" s="51">
        <v>0.2826302667</v>
      </c>
      <c r="O109" s="51">
        <v>0.7482212942</v>
      </c>
      <c r="P109" s="51">
        <v>0.5664501911</v>
      </c>
      <c r="Q109" s="51">
        <v>0.7483922252</v>
      </c>
      <c r="R109" s="51">
        <v>0.696812</v>
      </c>
      <c r="S109" s="51">
        <v>0.494655</v>
      </c>
      <c r="T109" s="51">
        <v>0.896474</v>
      </c>
      <c r="U109" s="51">
        <v>0.877513</v>
      </c>
      <c r="V109" s="51">
        <v>0.875498</v>
      </c>
      <c r="W109" s="52">
        <v>0.837419</v>
      </c>
      <c r="X109" s="51">
        <v>22.7671627</v>
      </c>
      <c r="Y109" s="51">
        <v>82.68090094</v>
      </c>
      <c r="Z109" s="51">
        <v>0.009259259259</v>
      </c>
      <c r="AA109" s="51">
        <v>0.1598234105</v>
      </c>
      <c r="AB109" s="51">
        <v>44.603586507057</v>
      </c>
      <c r="AC109" s="34" t="s">
        <v>0</v>
      </c>
      <c r="AD109" s="34" t="s">
        <v>0</v>
      </c>
      <c r="AE109" s="34" t="s">
        <v>0</v>
      </c>
      <c r="AF109" s="34" t="s">
        <v>0</v>
      </c>
      <c r="AG109" s="34" t="s">
        <v>0</v>
      </c>
      <c r="AH109" s="34" t="s">
        <v>0</v>
      </c>
      <c r="AI109" s="34" t="s">
        <v>0</v>
      </c>
      <c r="AJ109" s="34" t="s">
        <v>0</v>
      </c>
      <c r="AK109" s="34" t="s">
        <v>0</v>
      </c>
    </row>
    <row r="110" spans="1:37">
      <c r="A110" s="27"/>
      <c r="B110" s="27"/>
      <c r="C110" s="22" t="s">
        <v>64</v>
      </c>
      <c r="D110" s="51">
        <v>0.9081461824</v>
      </c>
      <c r="E110" s="51">
        <v>0.5629113578</v>
      </c>
      <c r="F110" s="51">
        <v>0.2539940446</v>
      </c>
      <c r="G110" s="51">
        <v>0.2931145646</v>
      </c>
      <c r="H110" s="51">
        <v>0.5637461554</v>
      </c>
      <c r="I110" s="51">
        <v>0.7731481481</v>
      </c>
      <c r="J110" s="51">
        <v>0.6227091574</v>
      </c>
      <c r="K110" s="51">
        <v>0.1568897932</v>
      </c>
      <c r="L110" s="51">
        <v>0.5384163318</v>
      </c>
      <c r="M110" s="51">
        <v>0.2158726274</v>
      </c>
      <c r="N110" s="51">
        <v>0.260382208</v>
      </c>
      <c r="O110" s="51">
        <v>0.7336734128</v>
      </c>
      <c r="P110" s="51">
        <v>0.7156479471</v>
      </c>
      <c r="Q110" s="51">
        <v>0.7646287599</v>
      </c>
      <c r="R110" s="51">
        <v>0.722552</v>
      </c>
      <c r="S110" s="51">
        <v>0.553612</v>
      </c>
      <c r="T110" s="51">
        <v>0.910106</v>
      </c>
      <c r="U110" s="51">
        <v>0.907555</v>
      </c>
      <c r="V110" s="51">
        <v>0.894683</v>
      </c>
      <c r="W110" s="52">
        <v>0.876367</v>
      </c>
      <c r="X110" s="51">
        <v>25.4375</v>
      </c>
      <c r="Y110" s="51">
        <v>55.12134774</v>
      </c>
      <c r="Z110" s="51">
        <v>0.03240740741</v>
      </c>
      <c r="AA110" s="51">
        <v>1.334614765</v>
      </c>
      <c r="AB110" s="51">
        <v>8.9871631999247</v>
      </c>
      <c r="AC110" s="34" t="s">
        <v>0</v>
      </c>
      <c r="AD110" s="34" t="s">
        <v>0</v>
      </c>
      <c r="AE110" s="34" t="s">
        <v>0</v>
      </c>
      <c r="AF110" s="34" t="s">
        <v>0</v>
      </c>
      <c r="AG110" s="34" t="s">
        <v>0</v>
      </c>
      <c r="AH110" s="34" t="s">
        <v>0</v>
      </c>
      <c r="AI110" s="34" t="s">
        <v>0</v>
      </c>
      <c r="AJ110" s="34" t="s">
        <v>0</v>
      </c>
      <c r="AK110" s="34" t="s">
        <v>0</v>
      </c>
    </row>
    <row r="111" spans="1:37">
      <c r="A111" s="27"/>
      <c r="B111" s="22" t="s">
        <v>65</v>
      </c>
      <c r="C111" s="22" t="s">
        <v>66</v>
      </c>
      <c r="D111" s="51">
        <v>0.9177367651</v>
      </c>
      <c r="E111" s="51">
        <v>0.7175790449</v>
      </c>
      <c r="F111" s="51">
        <v>0.1276822751</v>
      </c>
      <c r="G111" s="51">
        <v>0.1847857586</v>
      </c>
      <c r="H111" s="51">
        <v>0.6934056238</v>
      </c>
      <c r="I111" s="51">
        <v>0.9444444444</v>
      </c>
      <c r="J111" s="51">
        <v>0.7791889861</v>
      </c>
      <c r="K111" s="51">
        <v>0.04794750441</v>
      </c>
      <c r="L111" s="51">
        <v>0.6927399436</v>
      </c>
      <c r="M111" s="51">
        <v>0.1920245148</v>
      </c>
      <c r="N111" s="51">
        <v>0.2932938559</v>
      </c>
      <c r="O111" s="51">
        <v>0.8005171445</v>
      </c>
      <c r="P111" s="51">
        <v>0.88587044</v>
      </c>
      <c r="Q111" s="51">
        <v>0.8474728747</v>
      </c>
      <c r="R111" s="51">
        <v>0.721554</v>
      </c>
      <c r="S111" s="51">
        <v>0.50977</v>
      </c>
      <c r="T111" s="51">
        <v>0.905496</v>
      </c>
      <c r="U111" s="51">
        <v>0.89558</v>
      </c>
      <c r="V111" s="51">
        <v>0.889563</v>
      </c>
      <c r="W111" s="52">
        <v>0.860064</v>
      </c>
      <c r="X111" s="51">
        <v>34.68180869</v>
      </c>
      <c r="Y111" s="51">
        <v>30.02494856</v>
      </c>
      <c r="Z111" s="51">
        <v>0.1203703704</v>
      </c>
      <c r="AA111" s="51">
        <v>4.820595493</v>
      </c>
      <c r="AB111" s="51">
        <v>16.5448378948251</v>
      </c>
      <c r="AC111" s="34" t="s">
        <v>0</v>
      </c>
      <c r="AD111" s="34" t="s">
        <v>0</v>
      </c>
      <c r="AE111" s="34" t="s">
        <v>0</v>
      </c>
      <c r="AF111" s="34" t="s">
        <v>0</v>
      </c>
      <c r="AG111" s="34" t="s">
        <v>0</v>
      </c>
      <c r="AH111" s="34" t="s">
        <v>0</v>
      </c>
      <c r="AI111" s="34" t="s">
        <v>0</v>
      </c>
      <c r="AJ111" s="34" t="s">
        <v>0</v>
      </c>
      <c r="AK111" s="34" t="s">
        <v>0</v>
      </c>
    </row>
    <row r="112" spans="1:37">
      <c r="A112" s="27"/>
      <c r="B112" s="28"/>
      <c r="C112" s="22" t="s">
        <v>67</v>
      </c>
      <c r="D112" s="51">
        <v>0.9182421037</v>
      </c>
      <c r="E112" s="51">
        <v>0.7377753426</v>
      </c>
      <c r="F112" s="51">
        <v>0.1181001212</v>
      </c>
      <c r="G112" s="51">
        <v>0.1729508623</v>
      </c>
      <c r="H112" s="51">
        <v>0.7199457205</v>
      </c>
      <c r="I112" s="51">
        <v>0.962962963</v>
      </c>
      <c r="J112" s="51">
        <v>0.8045653113</v>
      </c>
      <c r="K112" s="51">
        <v>0.03719097962</v>
      </c>
      <c r="L112" s="51">
        <v>0.7188791901</v>
      </c>
      <c r="M112" s="51">
        <v>0.1957345785</v>
      </c>
      <c r="N112" s="51">
        <v>0.3005953081</v>
      </c>
      <c r="O112" s="51">
        <v>0.8079459764</v>
      </c>
      <c r="P112" s="51">
        <v>0.8897431454</v>
      </c>
      <c r="Q112" s="51">
        <v>0.841432791</v>
      </c>
      <c r="R112" s="51">
        <v>0.72988</v>
      </c>
      <c r="S112" s="51">
        <v>0.534515</v>
      </c>
      <c r="T112" s="51">
        <v>0.910402</v>
      </c>
      <c r="U112" s="51">
        <v>0.903225</v>
      </c>
      <c r="V112" s="51">
        <v>0.895824</v>
      </c>
      <c r="W112" s="52">
        <v>0.869806</v>
      </c>
      <c r="X112" s="51">
        <v>34.98947368</v>
      </c>
      <c r="Y112" s="51">
        <v>47.05291005</v>
      </c>
      <c r="Z112" s="51">
        <v>0.1064814815</v>
      </c>
      <c r="AA112" s="51">
        <v>5.294485299</v>
      </c>
      <c r="AB112" s="51">
        <v>16.9390908895135</v>
      </c>
      <c r="AC112" s="34" t="s">
        <v>0</v>
      </c>
      <c r="AD112" s="34" t="s">
        <v>0</v>
      </c>
      <c r="AE112" s="34" t="s">
        <v>0</v>
      </c>
      <c r="AF112" s="34" t="s">
        <v>0</v>
      </c>
      <c r="AG112" s="34" t="s">
        <v>0</v>
      </c>
      <c r="AH112" s="34" t="s">
        <v>0</v>
      </c>
      <c r="AI112" s="34" t="s">
        <v>0</v>
      </c>
      <c r="AJ112" s="34" t="s">
        <v>0</v>
      </c>
      <c r="AK112" s="34" t="s">
        <v>0</v>
      </c>
    </row>
    <row r="113" spans="1:37">
      <c r="A113" s="27"/>
      <c r="B113" s="22" t="s">
        <v>68</v>
      </c>
      <c r="C113" s="22" t="s">
        <v>69</v>
      </c>
      <c r="D113" s="51">
        <v>0.9109611974</v>
      </c>
      <c r="E113" s="51">
        <v>0.7088023451</v>
      </c>
      <c r="F113" s="51">
        <v>0.1342861821</v>
      </c>
      <c r="G113" s="51">
        <v>0.1901298161</v>
      </c>
      <c r="H113" s="51">
        <v>0.7204906727</v>
      </c>
      <c r="I113" s="51">
        <v>0.9537037037</v>
      </c>
      <c r="J113" s="51">
        <v>0.8003417381</v>
      </c>
      <c r="K113" s="51">
        <v>0.02600919029</v>
      </c>
      <c r="L113" s="51">
        <v>0.7186597104</v>
      </c>
      <c r="M113" s="51">
        <v>0.1926235665</v>
      </c>
      <c r="N113" s="51">
        <v>0.2968948472</v>
      </c>
      <c r="O113" s="51">
        <v>0.7954653182</v>
      </c>
      <c r="P113" s="51">
        <v>0.8972850119</v>
      </c>
      <c r="Q113" s="51">
        <v>0.8446769455</v>
      </c>
      <c r="R113" s="51">
        <v>0.709076</v>
      </c>
      <c r="S113" s="51">
        <v>0.50613</v>
      </c>
      <c r="T113" s="51">
        <v>0.897692</v>
      </c>
      <c r="U113" s="51">
        <v>0.891317</v>
      </c>
      <c r="V113" s="51">
        <v>0.882048</v>
      </c>
      <c r="W113" s="52">
        <v>0.856115</v>
      </c>
      <c r="X113" s="51">
        <v>25.81498538</v>
      </c>
      <c r="Y113" s="51">
        <v>30.67912257</v>
      </c>
      <c r="Z113" s="51">
        <v>0.0787037037</v>
      </c>
      <c r="AA113" s="51">
        <v>6.673073823</v>
      </c>
      <c r="AB113" s="51">
        <v>14.6767005644422</v>
      </c>
      <c r="AC113" s="34" t="s">
        <v>0</v>
      </c>
      <c r="AD113" s="34" t="s">
        <v>0</v>
      </c>
      <c r="AE113" s="34" t="s">
        <v>0</v>
      </c>
      <c r="AF113" s="34" t="s">
        <v>0</v>
      </c>
      <c r="AG113" s="34" t="s">
        <v>0</v>
      </c>
      <c r="AH113" s="34" t="s">
        <v>0</v>
      </c>
      <c r="AI113" s="34" t="s">
        <v>0</v>
      </c>
      <c r="AJ113" s="34" t="s">
        <v>0</v>
      </c>
      <c r="AK113" s="34" t="s">
        <v>0</v>
      </c>
    </row>
    <row r="114" spans="1:37">
      <c r="A114" s="27"/>
      <c r="B114" s="27"/>
      <c r="C114" s="22" t="s">
        <v>70</v>
      </c>
      <c r="D114" s="51">
        <v>0.9130399062</v>
      </c>
      <c r="E114" s="51">
        <v>0.7369698237</v>
      </c>
      <c r="F114" s="51">
        <v>0.1763045376</v>
      </c>
      <c r="G114" s="51">
        <v>0.2316118154</v>
      </c>
      <c r="H114" s="51">
        <v>0.6982566116</v>
      </c>
      <c r="I114" s="51">
        <v>0.9583333333</v>
      </c>
      <c r="J114" s="51">
        <v>0.7862773326</v>
      </c>
      <c r="K114" s="51">
        <v>0.05977263499</v>
      </c>
      <c r="L114" s="51">
        <v>0.6946779672</v>
      </c>
      <c r="M114" s="51">
        <v>0.1989199291</v>
      </c>
      <c r="N114" s="51">
        <v>0.2995752618</v>
      </c>
      <c r="O114" s="51">
        <v>0.8075081899</v>
      </c>
      <c r="P114" s="51">
        <v>0.9156455438</v>
      </c>
      <c r="Q114" s="51">
        <v>0.856104373</v>
      </c>
      <c r="R114" s="51">
        <v>0.742972</v>
      </c>
      <c r="S114" s="51">
        <v>0.567455</v>
      </c>
      <c r="T114" s="51">
        <v>0.909759</v>
      </c>
      <c r="U114" s="51">
        <v>0.906017</v>
      </c>
      <c r="V114" s="51">
        <v>0.896559</v>
      </c>
      <c r="W114" s="52">
        <v>0.876118</v>
      </c>
      <c r="X114" s="51">
        <v>35.44246032</v>
      </c>
      <c r="Y114" s="51">
        <v>25.34509112</v>
      </c>
      <c r="Z114" s="51">
        <v>0.1203703704</v>
      </c>
      <c r="AA114" s="51">
        <v>6.831781148</v>
      </c>
      <c r="AB114" s="51">
        <v>16.1716652266047</v>
      </c>
      <c r="AC114" s="34" t="s">
        <v>0</v>
      </c>
      <c r="AD114" s="34" t="s">
        <v>0</v>
      </c>
      <c r="AE114" s="34" t="s">
        <v>0</v>
      </c>
      <c r="AF114" s="34" t="s">
        <v>0</v>
      </c>
      <c r="AG114" s="34" t="s">
        <v>0</v>
      </c>
      <c r="AH114" s="34" t="s">
        <v>0</v>
      </c>
      <c r="AI114" s="34" t="s">
        <v>0</v>
      </c>
      <c r="AJ114" s="34" t="s">
        <v>0</v>
      </c>
      <c r="AK114" s="34" t="s">
        <v>0</v>
      </c>
    </row>
    <row r="115" spans="1:37">
      <c r="A115" s="27"/>
      <c r="B115" s="27"/>
      <c r="C115" s="22" t="s">
        <v>71</v>
      </c>
      <c r="D115" s="51">
        <v>0.9130042535</v>
      </c>
      <c r="E115" s="51">
        <v>0.7530910814</v>
      </c>
      <c r="F115" s="51">
        <v>0.1199750565</v>
      </c>
      <c r="G115" s="51">
        <v>0.1747201744</v>
      </c>
      <c r="H115" s="51">
        <v>0.7328572597</v>
      </c>
      <c r="I115" s="51">
        <v>0.9583333333</v>
      </c>
      <c r="J115" s="51">
        <v>0.8126439143</v>
      </c>
      <c r="K115" s="51">
        <v>0.03760987764</v>
      </c>
      <c r="L115" s="51">
        <v>0.7318593532</v>
      </c>
      <c r="M115" s="51">
        <v>0.194186203</v>
      </c>
      <c r="N115" s="51">
        <v>0.3009487312</v>
      </c>
      <c r="O115" s="51">
        <v>0.8256450821</v>
      </c>
      <c r="P115" s="51">
        <v>0.8793969039</v>
      </c>
      <c r="Q115" s="51">
        <v>0.8490001373</v>
      </c>
      <c r="R115" s="51">
        <v>0.732736</v>
      </c>
      <c r="S115" s="51">
        <v>0.548772</v>
      </c>
      <c r="T115" s="51">
        <v>0.911057</v>
      </c>
      <c r="U115" s="51">
        <v>0.904077</v>
      </c>
      <c r="V115" s="51">
        <v>0.895956</v>
      </c>
      <c r="W115" s="52">
        <v>0.87139</v>
      </c>
      <c r="X115" s="51">
        <v>34.32418546</v>
      </c>
      <c r="Y115" s="51">
        <v>47.48978542</v>
      </c>
      <c r="Z115" s="51">
        <v>0.1064814815</v>
      </c>
      <c r="AA115" s="51">
        <v>5.523729213</v>
      </c>
      <c r="AB115" s="51">
        <v>17.9219317970871</v>
      </c>
      <c r="AC115" s="34" t="s">
        <v>0</v>
      </c>
      <c r="AD115" s="34" t="s">
        <v>0</v>
      </c>
      <c r="AE115" s="34" t="s">
        <v>0</v>
      </c>
      <c r="AF115" s="34" t="s">
        <v>0</v>
      </c>
      <c r="AG115" s="34" t="s">
        <v>0</v>
      </c>
      <c r="AH115" s="34" t="s">
        <v>0</v>
      </c>
      <c r="AI115" s="34" t="s">
        <v>0</v>
      </c>
      <c r="AJ115" s="34" t="s">
        <v>0</v>
      </c>
      <c r="AK115" s="34" t="s">
        <v>0</v>
      </c>
    </row>
    <row r="116" spans="1:37">
      <c r="A116" s="27"/>
      <c r="B116" s="28"/>
      <c r="C116" s="22" t="s">
        <v>72</v>
      </c>
      <c r="D116" s="51">
        <v>0.9108139362</v>
      </c>
      <c r="E116" s="51">
        <v>0.7188572998</v>
      </c>
      <c r="F116" s="51">
        <v>0.1661446868</v>
      </c>
      <c r="G116" s="51">
        <v>0.2258419055</v>
      </c>
      <c r="H116" s="51">
        <v>0.6976163571</v>
      </c>
      <c r="I116" s="51">
        <v>0.9490740741</v>
      </c>
      <c r="J116" s="51">
        <v>0.7824782811</v>
      </c>
      <c r="K116" s="51">
        <v>0.04575347639</v>
      </c>
      <c r="L116" s="51">
        <v>0.6950066087</v>
      </c>
      <c r="M116" s="51">
        <v>0.1975490061</v>
      </c>
      <c r="N116" s="51">
        <v>0.2965414153</v>
      </c>
      <c r="O116" s="51">
        <v>0.7967673057</v>
      </c>
      <c r="P116" s="51">
        <v>0.8902168705</v>
      </c>
      <c r="Q116" s="51">
        <v>0.8391884073</v>
      </c>
      <c r="R116" s="51">
        <v>0.731547</v>
      </c>
      <c r="S116" s="51">
        <v>0.544509</v>
      </c>
      <c r="T116" s="51">
        <v>0.909843</v>
      </c>
      <c r="U116" s="51">
        <v>0.904748</v>
      </c>
      <c r="V116" s="51">
        <v>0.895551</v>
      </c>
      <c r="W116" s="52">
        <v>0.873032</v>
      </c>
      <c r="X116" s="51">
        <v>34.53304094</v>
      </c>
      <c r="Y116" s="51">
        <v>27.51759994</v>
      </c>
      <c r="Z116" s="51">
        <v>0.06018518519</v>
      </c>
      <c r="AA116" s="51">
        <v>5.259440221</v>
      </c>
      <c r="AB116" s="51">
        <v>13.3745166277649</v>
      </c>
      <c r="AC116" s="34" t="s">
        <v>0</v>
      </c>
      <c r="AD116" s="34" t="s">
        <v>0</v>
      </c>
      <c r="AE116" s="34" t="s">
        <v>0</v>
      </c>
      <c r="AF116" s="34" t="s">
        <v>0</v>
      </c>
      <c r="AG116" s="34" t="s">
        <v>0</v>
      </c>
      <c r="AH116" s="34" t="s">
        <v>0</v>
      </c>
      <c r="AI116" s="34" t="s">
        <v>0</v>
      </c>
      <c r="AJ116" s="34" t="s">
        <v>0</v>
      </c>
      <c r="AK116" s="34" t="s">
        <v>0</v>
      </c>
    </row>
    <row r="117" spans="1:37">
      <c r="A117" s="28"/>
      <c r="B117" s="22" t="s">
        <v>73</v>
      </c>
      <c r="C117" s="22" t="s">
        <v>74</v>
      </c>
      <c r="D117" s="51">
        <v>0.9276358214</v>
      </c>
      <c r="E117" s="51">
        <v>0.6248554502</v>
      </c>
      <c r="F117" s="51">
        <v>0.08657554727</v>
      </c>
      <c r="G117" s="51">
        <v>0.1228225553</v>
      </c>
      <c r="H117" s="51">
        <v>0.6206637425</v>
      </c>
      <c r="I117" s="51">
        <v>0.9027777778</v>
      </c>
      <c r="J117" s="51">
        <v>0.7023390945</v>
      </c>
      <c r="K117" s="51">
        <v>0.03705894586</v>
      </c>
      <c r="L117" s="51">
        <v>0.6197048336</v>
      </c>
      <c r="M117" s="51">
        <v>0.1850066736</v>
      </c>
      <c r="N117" s="51">
        <v>0.2707054059</v>
      </c>
      <c r="O117" s="51">
        <v>0.7325450702</v>
      </c>
      <c r="P117" s="51">
        <v>0.793539765</v>
      </c>
      <c r="Q117" s="51">
        <v>0.7551188602</v>
      </c>
      <c r="R117" s="51">
        <v>0.675354</v>
      </c>
      <c r="S117" s="51">
        <v>0.444788</v>
      </c>
      <c r="T117" s="51">
        <v>0.881039</v>
      </c>
      <c r="U117" s="51">
        <v>0.863218</v>
      </c>
      <c r="V117" s="51">
        <v>0.862777</v>
      </c>
      <c r="W117" s="52">
        <v>0.824548</v>
      </c>
      <c r="X117" s="51">
        <v>25.05376984</v>
      </c>
      <c r="Y117" s="51">
        <v>46.08759553</v>
      </c>
      <c r="Z117" s="51">
        <v>0.06481481481</v>
      </c>
      <c r="AA117" s="51">
        <v>2.43730701</v>
      </c>
      <c r="AB117" s="51">
        <v>12.8090424160853</v>
      </c>
      <c r="AC117" s="34" t="s">
        <v>0</v>
      </c>
      <c r="AD117" s="34" t="s">
        <v>0</v>
      </c>
      <c r="AE117" s="34" t="s">
        <v>0</v>
      </c>
      <c r="AF117" s="34" t="s">
        <v>0</v>
      </c>
      <c r="AG117" s="34" t="s">
        <v>0</v>
      </c>
      <c r="AH117" s="34" t="s">
        <v>0</v>
      </c>
      <c r="AI117" s="34" t="s">
        <v>0</v>
      </c>
      <c r="AJ117" s="34" t="s">
        <v>0</v>
      </c>
      <c r="AK117" s="34" t="s">
        <v>0</v>
      </c>
    </row>
    <row r="118" spans="1:37">
      <c r="A118" s="42" t="s">
        <v>0</v>
      </c>
      <c r="B118" s="42" t="s">
        <v>0</v>
      </c>
      <c r="C118" s="42" t="s">
        <v>0</v>
      </c>
      <c r="D118" s="42" t="s">
        <v>0</v>
      </c>
      <c r="E118" s="42" t="s">
        <v>0</v>
      </c>
      <c r="F118" s="42" t="s">
        <v>0</v>
      </c>
      <c r="G118" s="42" t="s">
        <v>0</v>
      </c>
      <c r="H118" s="42" t="s">
        <v>0</v>
      </c>
      <c r="I118" s="42" t="s">
        <v>0</v>
      </c>
      <c r="J118" s="42" t="s">
        <v>0</v>
      </c>
      <c r="K118" s="42" t="s">
        <v>0</v>
      </c>
      <c r="L118" s="42" t="s">
        <v>0</v>
      </c>
      <c r="M118" s="42" t="s">
        <v>0</v>
      </c>
      <c r="N118" s="42" t="s">
        <v>0</v>
      </c>
      <c r="O118" s="42" t="s">
        <v>0</v>
      </c>
      <c r="P118" s="42" t="s">
        <v>0</v>
      </c>
      <c r="Q118" s="42" t="s">
        <v>0</v>
      </c>
      <c r="R118" s="42" t="s">
        <v>0</v>
      </c>
      <c r="S118" s="42" t="s">
        <v>0</v>
      </c>
      <c r="T118" s="42" t="s">
        <v>0</v>
      </c>
      <c r="U118" s="42" t="s">
        <v>0</v>
      </c>
      <c r="V118" s="42" t="s">
        <v>0</v>
      </c>
      <c r="W118" s="42" t="s">
        <v>0</v>
      </c>
      <c r="X118" s="42" t="s">
        <v>0</v>
      </c>
      <c r="Y118" s="42" t="s">
        <v>0</v>
      </c>
      <c r="Z118" s="42" t="s">
        <v>0</v>
      </c>
      <c r="AA118" s="42" t="s">
        <v>0</v>
      </c>
      <c r="AB118" s="42" t="s">
        <v>0</v>
      </c>
      <c r="AC118" s="42" t="s">
        <v>0</v>
      </c>
      <c r="AD118" s="42" t="s">
        <v>0</v>
      </c>
      <c r="AE118" s="42" t="s">
        <v>0</v>
      </c>
      <c r="AF118" s="42" t="s">
        <v>0</v>
      </c>
      <c r="AG118" s="42" t="s">
        <v>0</v>
      </c>
      <c r="AH118" s="42" t="s">
        <v>0</v>
      </c>
      <c r="AI118" s="42" t="s">
        <v>0</v>
      </c>
      <c r="AJ118" s="42" t="s">
        <v>0</v>
      </c>
      <c r="AK118" s="42" t="s">
        <v>0</v>
      </c>
    </row>
    <row r="119" spans="1:37">
      <c r="A119" s="42" t="s">
        <v>0</v>
      </c>
      <c r="B119" s="42" t="s">
        <v>0</v>
      </c>
      <c r="C119" s="42" t="s">
        <v>0</v>
      </c>
      <c r="D119" s="42" t="s">
        <v>0</v>
      </c>
      <c r="E119" s="42" t="s">
        <v>0</v>
      </c>
      <c r="F119" s="42" t="s">
        <v>0</v>
      </c>
      <c r="G119" s="42" t="s">
        <v>0</v>
      </c>
      <c r="H119" s="42" t="s">
        <v>0</v>
      </c>
      <c r="I119" s="42" t="s">
        <v>0</v>
      </c>
      <c r="J119" s="42" t="s">
        <v>0</v>
      </c>
      <c r="K119" s="42" t="s">
        <v>0</v>
      </c>
      <c r="L119" s="42" t="s">
        <v>0</v>
      </c>
      <c r="M119" s="42" t="s">
        <v>0</v>
      </c>
      <c r="N119" s="42" t="s">
        <v>0</v>
      </c>
      <c r="O119" s="42" t="s">
        <v>0</v>
      </c>
      <c r="P119" s="42" t="s">
        <v>0</v>
      </c>
      <c r="Q119" s="42" t="s">
        <v>0</v>
      </c>
      <c r="R119" s="42" t="s">
        <v>0</v>
      </c>
      <c r="S119" s="42" t="s">
        <v>0</v>
      </c>
      <c r="T119" s="42" t="s">
        <v>0</v>
      </c>
      <c r="U119" s="42" t="s">
        <v>0</v>
      </c>
      <c r="V119" s="42" t="s">
        <v>0</v>
      </c>
      <c r="W119" s="42" t="s">
        <v>0</v>
      </c>
      <c r="X119" s="42" t="s">
        <v>0</v>
      </c>
      <c r="Y119" s="42" t="s">
        <v>0</v>
      </c>
      <c r="Z119" s="42" t="s">
        <v>0</v>
      </c>
      <c r="AA119" s="42" t="s">
        <v>0</v>
      </c>
      <c r="AB119" s="42" t="s">
        <v>0</v>
      </c>
      <c r="AC119" s="42" t="s">
        <v>0</v>
      </c>
      <c r="AD119" s="42" t="s">
        <v>0</v>
      </c>
      <c r="AE119" s="42" t="s">
        <v>0</v>
      </c>
      <c r="AF119" s="42" t="s">
        <v>0</v>
      </c>
      <c r="AG119" s="42" t="s">
        <v>0</v>
      </c>
      <c r="AH119" s="42" t="s">
        <v>0</v>
      </c>
      <c r="AI119" s="42" t="s">
        <v>0</v>
      </c>
      <c r="AJ119" s="42" t="s">
        <v>0</v>
      </c>
      <c r="AK119" s="42" t="s">
        <v>0</v>
      </c>
    </row>
    <row r="120" spans="1:37">
      <c r="A120" s="42" t="s">
        <v>0</v>
      </c>
      <c r="B120" s="42" t="s">
        <v>0</v>
      </c>
      <c r="C120" s="42" t="s">
        <v>0</v>
      </c>
      <c r="D120" s="42" t="s">
        <v>0</v>
      </c>
      <c r="E120" s="42" t="s">
        <v>0</v>
      </c>
      <c r="F120" s="42" t="s">
        <v>0</v>
      </c>
      <c r="G120" s="42" t="s">
        <v>0</v>
      </c>
      <c r="H120" s="42" t="s">
        <v>0</v>
      </c>
      <c r="I120" s="42" t="s">
        <v>0</v>
      </c>
      <c r="J120" s="42" t="s">
        <v>0</v>
      </c>
      <c r="K120" s="42" t="s">
        <v>0</v>
      </c>
      <c r="L120" s="42" t="s">
        <v>0</v>
      </c>
      <c r="M120" s="42" t="s">
        <v>0</v>
      </c>
      <c r="N120" s="42" t="s">
        <v>0</v>
      </c>
      <c r="O120" s="42" t="s">
        <v>0</v>
      </c>
      <c r="P120" s="42" t="s">
        <v>0</v>
      </c>
      <c r="Q120" s="42" t="s">
        <v>0</v>
      </c>
      <c r="R120" s="42" t="s">
        <v>0</v>
      </c>
      <c r="S120" s="42" t="s">
        <v>0</v>
      </c>
      <c r="T120" s="42" t="s">
        <v>0</v>
      </c>
      <c r="U120" s="42" t="s">
        <v>0</v>
      </c>
      <c r="V120" s="42" t="s">
        <v>0</v>
      </c>
      <c r="W120" s="42" t="s">
        <v>0</v>
      </c>
      <c r="X120" s="42" t="s">
        <v>0</v>
      </c>
      <c r="Y120" s="42" t="s">
        <v>0</v>
      </c>
      <c r="Z120" s="42" t="s">
        <v>0</v>
      </c>
      <c r="AA120" s="42" t="s">
        <v>0</v>
      </c>
      <c r="AB120" s="42" t="s">
        <v>0</v>
      </c>
      <c r="AC120" s="42" t="s">
        <v>0</v>
      </c>
      <c r="AD120" s="42" t="s">
        <v>0</v>
      </c>
      <c r="AE120" s="42" t="s">
        <v>0</v>
      </c>
      <c r="AF120" s="42" t="s">
        <v>0</v>
      </c>
      <c r="AG120" s="42" t="s">
        <v>0</v>
      </c>
      <c r="AH120" s="42" t="s">
        <v>0</v>
      </c>
      <c r="AI120" s="42" t="s">
        <v>0</v>
      </c>
      <c r="AJ120" s="42" t="s">
        <v>0</v>
      </c>
      <c r="AK120" s="42" t="s">
        <v>0</v>
      </c>
    </row>
    <row r="121" spans="1:37">
      <c r="A121" s="42" t="s">
        <v>0</v>
      </c>
      <c r="B121" s="42" t="s">
        <v>0</v>
      </c>
      <c r="C121" s="42" t="s">
        <v>0</v>
      </c>
      <c r="D121" s="42" t="s">
        <v>0</v>
      </c>
      <c r="E121" s="42" t="s">
        <v>0</v>
      </c>
      <c r="F121" s="42" t="s">
        <v>0</v>
      </c>
      <c r="G121" s="42" t="s">
        <v>0</v>
      </c>
      <c r="H121" s="42" t="s">
        <v>0</v>
      </c>
      <c r="I121" s="42" t="s">
        <v>0</v>
      </c>
      <c r="J121" s="42" t="s">
        <v>0</v>
      </c>
      <c r="K121" s="42" t="s">
        <v>0</v>
      </c>
      <c r="L121" s="42" t="s">
        <v>0</v>
      </c>
      <c r="M121" s="42" t="s">
        <v>0</v>
      </c>
      <c r="N121" s="42" t="s">
        <v>0</v>
      </c>
      <c r="O121" s="42" t="s">
        <v>0</v>
      </c>
      <c r="P121" s="42" t="s">
        <v>0</v>
      </c>
      <c r="Q121" s="42" t="s">
        <v>0</v>
      </c>
      <c r="R121" s="42" t="s">
        <v>0</v>
      </c>
      <c r="S121" s="42" t="s">
        <v>0</v>
      </c>
      <c r="T121" s="42" t="s">
        <v>0</v>
      </c>
      <c r="U121" s="42" t="s">
        <v>0</v>
      </c>
      <c r="V121" s="42" t="s">
        <v>0</v>
      </c>
      <c r="W121" s="42" t="s">
        <v>0</v>
      </c>
      <c r="X121" s="42" t="s">
        <v>0</v>
      </c>
      <c r="Y121" s="42" t="s">
        <v>0</v>
      </c>
      <c r="Z121" s="42" t="s">
        <v>0</v>
      </c>
      <c r="AA121" s="42" t="s">
        <v>0</v>
      </c>
      <c r="AB121" s="42" t="s">
        <v>0</v>
      </c>
      <c r="AC121" s="42" t="s">
        <v>0</v>
      </c>
      <c r="AD121" s="42" t="s">
        <v>0</v>
      </c>
      <c r="AE121" s="42" t="s">
        <v>0</v>
      </c>
      <c r="AF121" s="42" t="s">
        <v>0</v>
      </c>
      <c r="AG121" s="42" t="s">
        <v>0</v>
      </c>
      <c r="AH121" s="42" t="s">
        <v>0</v>
      </c>
      <c r="AI121" s="42" t="s">
        <v>0</v>
      </c>
      <c r="AJ121" s="42" t="s">
        <v>0</v>
      </c>
      <c r="AK121" s="42" t="s">
        <v>0</v>
      </c>
    </row>
    <row r="122" spans="1:37">
      <c r="A122" s="42" t="s">
        <v>0</v>
      </c>
      <c r="B122" s="42" t="s">
        <v>0</v>
      </c>
      <c r="C122" s="42" t="s">
        <v>0</v>
      </c>
      <c r="D122" s="42" t="s">
        <v>0</v>
      </c>
      <c r="E122" s="42" t="s">
        <v>0</v>
      </c>
      <c r="F122" s="42" t="s">
        <v>0</v>
      </c>
      <c r="G122" s="42" t="s">
        <v>0</v>
      </c>
      <c r="H122" s="42" t="s">
        <v>0</v>
      </c>
      <c r="I122" s="42" t="s">
        <v>0</v>
      </c>
      <c r="J122" s="42" t="s">
        <v>0</v>
      </c>
      <c r="K122" s="42" t="s">
        <v>0</v>
      </c>
      <c r="L122" s="42" t="s">
        <v>0</v>
      </c>
      <c r="M122" s="42" t="s">
        <v>0</v>
      </c>
      <c r="N122" s="42" t="s">
        <v>0</v>
      </c>
      <c r="O122" s="42" t="s">
        <v>0</v>
      </c>
      <c r="P122" s="42" t="s">
        <v>0</v>
      </c>
      <c r="Q122" s="42" t="s">
        <v>0</v>
      </c>
      <c r="R122" s="42" t="s">
        <v>0</v>
      </c>
      <c r="S122" s="42" t="s">
        <v>0</v>
      </c>
      <c r="T122" s="42" t="s">
        <v>0</v>
      </c>
      <c r="U122" s="42" t="s">
        <v>0</v>
      </c>
      <c r="V122" s="42" t="s">
        <v>0</v>
      </c>
      <c r="W122" s="42" t="s">
        <v>0</v>
      </c>
      <c r="X122" s="42" t="s">
        <v>0</v>
      </c>
      <c r="Y122" s="42" t="s">
        <v>0</v>
      </c>
      <c r="Z122" s="42" t="s">
        <v>0</v>
      </c>
      <c r="AA122" s="42" t="s">
        <v>0</v>
      </c>
      <c r="AB122" s="42" t="s">
        <v>0</v>
      </c>
      <c r="AC122" s="42" t="s">
        <v>0</v>
      </c>
      <c r="AD122" s="42" t="s">
        <v>0</v>
      </c>
      <c r="AE122" s="42" t="s">
        <v>0</v>
      </c>
      <c r="AF122" s="42" t="s">
        <v>0</v>
      </c>
      <c r="AG122" s="42" t="s">
        <v>0</v>
      </c>
      <c r="AH122" s="42" t="s">
        <v>0</v>
      </c>
      <c r="AI122" s="42" t="s">
        <v>0</v>
      </c>
      <c r="AJ122" s="42" t="s">
        <v>0</v>
      </c>
      <c r="AK122" s="42" t="s">
        <v>0</v>
      </c>
    </row>
    <row r="123" spans="1:37">
      <c r="A123" s="42" t="s">
        <v>0</v>
      </c>
      <c r="B123" s="42" t="s">
        <v>0</v>
      </c>
      <c r="C123" s="42" t="s">
        <v>0</v>
      </c>
      <c r="D123" s="42" t="s">
        <v>0</v>
      </c>
      <c r="E123" s="42" t="s">
        <v>0</v>
      </c>
      <c r="F123" s="42" t="s">
        <v>0</v>
      </c>
      <c r="G123" s="42" t="s">
        <v>0</v>
      </c>
      <c r="H123" s="42" t="s">
        <v>0</v>
      </c>
      <c r="I123" s="42" t="s">
        <v>0</v>
      </c>
      <c r="J123" s="42" t="s">
        <v>0</v>
      </c>
      <c r="K123" s="42" t="s">
        <v>0</v>
      </c>
      <c r="L123" s="42" t="s">
        <v>0</v>
      </c>
      <c r="M123" s="42" t="s">
        <v>0</v>
      </c>
      <c r="N123" s="42" t="s">
        <v>0</v>
      </c>
      <c r="O123" s="42" t="s">
        <v>0</v>
      </c>
      <c r="P123" s="42" t="s">
        <v>0</v>
      </c>
      <c r="Q123" s="42" t="s">
        <v>0</v>
      </c>
      <c r="R123" s="42" t="s">
        <v>0</v>
      </c>
      <c r="S123" s="42" t="s">
        <v>0</v>
      </c>
      <c r="T123" s="42" t="s">
        <v>0</v>
      </c>
      <c r="U123" s="42" t="s">
        <v>0</v>
      </c>
      <c r="V123" s="42" t="s">
        <v>0</v>
      </c>
      <c r="W123" s="42" t="s">
        <v>0</v>
      </c>
      <c r="X123" s="42" t="s">
        <v>0</v>
      </c>
      <c r="Y123" s="42" t="s">
        <v>0</v>
      </c>
      <c r="Z123" s="42" t="s">
        <v>0</v>
      </c>
      <c r="AA123" s="42" t="s">
        <v>0</v>
      </c>
      <c r="AB123" s="42" t="s">
        <v>0</v>
      </c>
      <c r="AC123" s="42" t="s">
        <v>0</v>
      </c>
      <c r="AD123" s="42" t="s">
        <v>0</v>
      </c>
      <c r="AE123" s="42" t="s">
        <v>0</v>
      </c>
      <c r="AF123" s="42" t="s">
        <v>0</v>
      </c>
      <c r="AG123" s="42" t="s">
        <v>0</v>
      </c>
      <c r="AH123" s="42" t="s">
        <v>0</v>
      </c>
      <c r="AI123" s="42" t="s">
        <v>0</v>
      </c>
      <c r="AJ123" s="42" t="s">
        <v>0</v>
      </c>
      <c r="AK123" s="42" t="s">
        <v>0</v>
      </c>
    </row>
    <row r="124" spans="1:37">
      <c r="A124" s="42" t="s">
        <v>0</v>
      </c>
      <c r="B124" s="42" t="s">
        <v>0</v>
      </c>
      <c r="C124" s="42" t="s">
        <v>0</v>
      </c>
      <c r="D124" s="42" t="s">
        <v>0</v>
      </c>
      <c r="E124" s="42" t="s">
        <v>0</v>
      </c>
      <c r="F124" s="42" t="s">
        <v>0</v>
      </c>
      <c r="G124" s="42" t="s">
        <v>0</v>
      </c>
      <c r="H124" s="42" t="s">
        <v>0</v>
      </c>
      <c r="I124" s="42" t="s">
        <v>0</v>
      </c>
      <c r="J124" s="42" t="s">
        <v>0</v>
      </c>
      <c r="K124" s="42" t="s">
        <v>0</v>
      </c>
      <c r="L124" s="42" t="s">
        <v>0</v>
      </c>
      <c r="M124" s="42" t="s">
        <v>0</v>
      </c>
      <c r="N124" s="42" t="s">
        <v>0</v>
      </c>
      <c r="O124" s="42" t="s">
        <v>0</v>
      </c>
      <c r="P124" s="42" t="s">
        <v>0</v>
      </c>
      <c r="Q124" s="42" t="s">
        <v>0</v>
      </c>
      <c r="R124" s="42" t="s">
        <v>0</v>
      </c>
      <c r="S124" s="42" t="s">
        <v>0</v>
      </c>
      <c r="T124" s="42" t="s">
        <v>0</v>
      </c>
      <c r="U124" s="42" t="s">
        <v>0</v>
      </c>
      <c r="V124" s="42" t="s">
        <v>0</v>
      </c>
      <c r="W124" s="42" t="s">
        <v>0</v>
      </c>
      <c r="X124" s="42" t="s">
        <v>0</v>
      </c>
      <c r="Y124" s="42" t="s">
        <v>0</v>
      </c>
      <c r="Z124" s="42" t="s">
        <v>0</v>
      </c>
      <c r="AA124" s="42" t="s">
        <v>0</v>
      </c>
      <c r="AB124" s="42" t="s">
        <v>0</v>
      </c>
      <c r="AC124" s="42" t="s">
        <v>0</v>
      </c>
      <c r="AD124" s="42" t="s">
        <v>0</v>
      </c>
      <c r="AE124" s="42" t="s">
        <v>0</v>
      </c>
      <c r="AF124" s="42" t="s">
        <v>0</v>
      </c>
      <c r="AG124" s="42" t="s">
        <v>0</v>
      </c>
      <c r="AH124" s="42" t="s">
        <v>0</v>
      </c>
      <c r="AI124" s="42" t="s">
        <v>0</v>
      </c>
      <c r="AJ124" s="42" t="s">
        <v>0</v>
      </c>
      <c r="AK124" s="42" t="s">
        <v>0</v>
      </c>
    </row>
    <row r="125" spans="1:37">
      <c r="A125" s="42" t="s">
        <v>0</v>
      </c>
      <c r="B125" s="42" t="s">
        <v>0</v>
      </c>
      <c r="C125" s="42" t="s">
        <v>0</v>
      </c>
      <c r="D125" s="42" t="s">
        <v>0</v>
      </c>
      <c r="E125" s="42" t="s">
        <v>0</v>
      </c>
      <c r="F125" s="42" t="s">
        <v>0</v>
      </c>
      <c r="G125" s="42" t="s">
        <v>0</v>
      </c>
      <c r="H125" s="42" t="s">
        <v>0</v>
      </c>
      <c r="I125" s="42" t="s">
        <v>0</v>
      </c>
      <c r="J125" s="42" t="s">
        <v>0</v>
      </c>
      <c r="K125" s="42" t="s">
        <v>0</v>
      </c>
      <c r="L125" s="42" t="s">
        <v>0</v>
      </c>
      <c r="M125" s="42" t="s">
        <v>0</v>
      </c>
      <c r="N125" s="42" t="s">
        <v>0</v>
      </c>
      <c r="O125" s="42" t="s">
        <v>0</v>
      </c>
      <c r="P125" s="42" t="s">
        <v>0</v>
      </c>
      <c r="Q125" s="42" t="s">
        <v>0</v>
      </c>
      <c r="R125" s="42" t="s">
        <v>0</v>
      </c>
      <c r="S125" s="42" t="s">
        <v>0</v>
      </c>
      <c r="T125" s="42" t="s">
        <v>0</v>
      </c>
      <c r="U125" s="42" t="s">
        <v>0</v>
      </c>
      <c r="V125" s="42" t="s">
        <v>0</v>
      </c>
      <c r="W125" s="42" t="s">
        <v>0</v>
      </c>
      <c r="X125" s="42" t="s">
        <v>0</v>
      </c>
      <c r="Y125" s="42" t="s">
        <v>0</v>
      </c>
      <c r="Z125" s="42" t="s">
        <v>0</v>
      </c>
      <c r="AA125" s="42" t="s">
        <v>0</v>
      </c>
      <c r="AB125" s="42" t="s">
        <v>0</v>
      </c>
      <c r="AC125" s="42" t="s">
        <v>0</v>
      </c>
      <c r="AD125" s="42" t="s">
        <v>0</v>
      </c>
      <c r="AE125" s="42" t="s">
        <v>0</v>
      </c>
      <c r="AF125" s="42" t="s">
        <v>0</v>
      </c>
      <c r="AG125" s="42" t="s">
        <v>0</v>
      </c>
      <c r="AH125" s="42" t="s">
        <v>0</v>
      </c>
      <c r="AI125" s="42" t="s">
        <v>0</v>
      </c>
      <c r="AJ125" s="42" t="s">
        <v>0</v>
      </c>
      <c r="AK125" s="42" t="s">
        <v>0</v>
      </c>
    </row>
    <row r="126" spans="1:37">
      <c r="A126" s="42" t="s">
        <v>0</v>
      </c>
      <c r="B126" s="42" t="s">
        <v>0</v>
      </c>
      <c r="C126" s="42" t="s">
        <v>0</v>
      </c>
      <c r="D126" s="42" t="s">
        <v>0</v>
      </c>
      <c r="E126" s="42" t="s">
        <v>0</v>
      </c>
      <c r="F126" s="42" t="s">
        <v>0</v>
      </c>
      <c r="G126" s="42" t="s">
        <v>0</v>
      </c>
      <c r="H126" s="42" t="s">
        <v>0</v>
      </c>
      <c r="I126" s="42" t="s">
        <v>0</v>
      </c>
      <c r="J126" s="42" t="s">
        <v>0</v>
      </c>
      <c r="K126" s="42" t="s">
        <v>0</v>
      </c>
      <c r="L126" s="42" t="s">
        <v>0</v>
      </c>
      <c r="M126" s="42" t="s">
        <v>0</v>
      </c>
      <c r="N126" s="42" t="s">
        <v>0</v>
      </c>
      <c r="O126" s="42" t="s">
        <v>0</v>
      </c>
      <c r="P126" s="42" t="s">
        <v>0</v>
      </c>
      <c r="Q126" s="42" t="s">
        <v>0</v>
      </c>
      <c r="R126" s="42" t="s">
        <v>0</v>
      </c>
      <c r="S126" s="42" t="s">
        <v>0</v>
      </c>
      <c r="T126" s="42" t="s">
        <v>0</v>
      </c>
      <c r="U126" s="42" t="s">
        <v>0</v>
      </c>
      <c r="V126" s="42" t="s">
        <v>0</v>
      </c>
      <c r="W126" s="42" t="s">
        <v>0</v>
      </c>
      <c r="X126" s="42" t="s">
        <v>0</v>
      </c>
      <c r="Y126" s="42" t="s">
        <v>0</v>
      </c>
      <c r="Z126" s="42" t="s">
        <v>0</v>
      </c>
      <c r="AA126" s="42" t="s">
        <v>0</v>
      </c>
      <c r="AB126" s="42" t="s">
        <v>0</v>
      </c>
      <c r="AC126" s="42" t="s">
        <v>0</v>
      </c>
      <c r="AD126" s="42" t="s">
        <v>0</v>
      </c>
      <c r="AE126" s="42" t="s">
        <v>0</v>
      </c>
      <c r="AF126" s="42" t="s">
        <v>0</v>
      </c>
      <c r="AG126" s="42" t="s">
        <v>0</v>
      </c>
      <c r="AH126" s="42" t="s">
        <v>0</v>
      </c>
      <c r="AI126" s="42" t="s">
        <v>0</v>
      </c>
      <c r="AJ126" s="42" t="s">
        <v>0</v>
      </c>
      <c r="AK126" s="42" t="s">
        <v>0</v>
      </c>
    </row>
    <row r="127" spans="1:37">
      <c r="A127" s="42" t="s">
        <v>0</v>
      </c>
      <c r="B127" s="42" t="s">
        <v>0</v>
      </c>
      <c r="C127" s="42" t="s">
        <v>0</v>
      </c>
      <c r="D127" s="42" t="s">
        <v>0</v>
      </c>
      <c r="E127" s="42" t="s">
        <v>0</v>
      </c>
      <c r="F127" s="42" t="s">
        <v>0</v>
      </c>
      <c r="G127" s="42" t="s">
        <v>0</v>
      </c>
      <c r="H127" s="42" t="s">
        <v>0</v>
      </c>
      <c r="I127" s="42" t="s">
        <v>0</v>
      </c>
      <c r="J127" s="42" t="s">
        <v>0</v>
      </c>
      <c r="K127" s="42" t="s">
        <v>0</v>
      </c>
      <c r="L127" s="42" t="s">
        <v>0</v>
      </c>
      <c r="M127" s="42" t="s">
        <v>0</v>
      </c>
      <c r="N127" s="42" t="s">
        <v>0</v>
      </c>
      <c r="O127" s="42" t="s">
        <v>0</v>
      </c>
      <c r="P127" s="42" t="s">
        <v>0</v>
      </c>
      <c r="Q127" s="42" t="s">
        <v>0</v>
      </c>
      <c r="R127" s="42" t="s">
        <v>0</v>
      </c>
      <c r="S127" s="42" t="s">
        <v>0</v>
      </c>
      <c r="T127" s="42" t="s">
        <v>0</v>
      </c>
      <c r="U127" s="42" t="s">
        <v>0</v>
      </c>
      <c r="V127" s="42" t="s">
        <v>0</v>
      </c>
      <c r="W127" s="42" t="s">
        <v>0</v>
      </c>
      <c r="X127" s="42" t="s">
        <v>0</v>
      </c>
      <c r="Y127" s="42" t="s">
        <v>0</v>
      </c>
      <c r="Z127" s="42" t="s">
        <v>0</v>
      </c>
      <c r="AA127" s="42" t="s">
        <v>0</v>
      </c>
      <c r="AB127" s="42" t="s">
        <v>0</v>
      </c>
      <c r="AC127" s="42" t="s">
        <v>0</v>
      </c>
      <c r="AD127" s="42" t="s">
        <v>0</v>
      </c>
      <c r="AE127" s="42" t="s">
        <v>0</v>
      </c>
      <c r="AF127" s="42" t="s">
        <v>0</v>
      </c>
      <c r="AG127" s="42" t="s">
        <v>0</v>
      </c>
      <c r="AH127" s="42" t="s">
        <v>0</v>
      </c>
      <c r="AI127" s="42" t="s">
        <v>0</v>
      </c>
      <c r="AJ127" s="42" t="s">
        <v>0</v>
      </c>
      <c r="AK127" s="42" t="s">
        <v>0</v>
      </c>
    </row>
    <row r="128" spans="1:37">
      <c r="A128" s="42" t="s">
        <v>0</v>
      </c>
      <c r="B128" s="42" t="s">
        <v>0</v>
      </c>
      <c r="C128" s="42" t="s">
        <v>0</v>
      </c>
      <c r="D128" s="42" t="s">
        <v>0</v>
      </c>
      <c r="E128" s="42" t="s">
        <v>0</v>
      </c>
      <c r="F128" s="42" t="s">
        <v>0</v>
      </c>
      <c r="G128" s="42" t="s">
        <v>0</v>
      </c>
      <c r="H128" s="42" t="s">
        <v>0</v>
      </c>
      <c r="I128" s="42" t="s">
        <v>0</v>
      </c>
      <c r="J128" s="42" t="s">
        <v>0</v>
      </c>
      <c r="K128" s="42" t="s">
        <v>0</v>
      </c>
      <c r="L128" s="42" t="s">
        <v>0</v>
      </c>
      <c r="M128" s="42" t="s">
        <v>0</v>
      </c>
      <c r="N128" s="42" t="s">
        <v>0</v>
      </c>
      <c r="O128" s="42" t="s">
        <v>0</v>
      </c>
      <c r="P128" s="42" t="s">
        <v>0</v>
      </c>
      <c r="Q128" s="42" t="s">
        <v>0</v>
      </c>
      <c r="R128" s="42" t="s">
        <v>0</v>
      </c>
      <c r="S128" s="42" t="s">
        <v>0</v>
      </c>
      <c r="T128" s="42" t="s">
        <v>0</v>
      </c>
      <c r="U128" s="42" t="s">
        <v>0</v>
      </c>
      <c r="V128" s="42" t="s">
        <v>0</v>
      </c>
      <c r="W128" s="42" t="s">
        <v>0</v>
      </c>
      <c r="X128" s="42" t="s">
        <v>0</v>
      </c>
      <c r="Y128" s="42" t="s">
        <v>0</v>
      </c>
      <c r="Z128" s="42" t="s">
        <v>0</v>
      </c>
      <c r="AA128" s="42" t="s">
        <v>0</v>
      </c>
      <c r="AB128" s="42" t="s">
        <v>0</v>
      </c>
      <c r="AC128" s="42" t="s">
        <v>0</v>
      </c>
      <c r="AD128" s="42" t="s">
        <v>0</v>
      </c>
      <c r="AE128" s="42" t="s">
        <v>0</v>
      </c>
      <c r="AF128" s="42" t="s">
        <v>0</v>
      </c>
      <c r="AG128" s="42" t="s">
        <v>0</v>
      </c>
      <c r="AH128" s="42" t="s">
        <v>0</v>
      </c>
      <c r="AI128" s="42" t="s">
        <v>0</v>
      </c>
      <c r="AJ128" s="42" t="s">
        <v>0</v>
      </c>
      <c r="AK128" s="42" t="s">
        <v>0</v>
      </c>
    </row>
    <row r="129" spans="1:37">
      <c r="A129" s="42" t="s">
        <v>0</v>
      </c>
      <c r="B129" s="42" t="s">
        <v>0</v>
      </c>
      <c r="C129" s="42" t="s">
        <v>0</v>
      </c>
      <c r="D129" s="42" t="s">
        <v>0</v>
      </c>
      <c r="E129" s="42" t="s">
        <v>0</v>
      </c>
      <c r="F129" s="42" t="s">
        <v>0</v>
      </c>
      <c r="G129" s="42" t="s">
        <v>0</v>
      </c>
      <c r="H129" s="42" t="s">
        <v>0</v>
      </c>
      <c r="I129" s="42" t="s">
        <v>0</v>
      </c>
      <c r="J129" s="42" t="s">
        <v>0</v>
      </c>
      <c r="K129" s="42" t="s">
        <v>0</v>
      </c>
      <c r="L129" s="42" t="s">
        <v>0</v>
      </c>
      <c r="M129" s="42" t="s">
        <v>0</v>
      </c>
      <c r="N129" s="42" t="s">
        <v>0</v>
      </c>
      <c r="O129" s="42" t="s">
        <v>0</v>
      </c>
      <c r="P129" s="42" t="s">
        <v>0</v>
      </c>
      <c r="Q129" s="42" t="s">
        <v>0</v>
      </c>
      <c r="R129" s="42" t="s">
        <v>0</v>
      </c>
      <c r="S129" s="42" t="s">
        <v>0</v>
      </c>
      <c r="T129" s="42" t="s">
        <v>0</v>
      </c>
      <c r="U129" s="42" t="s">
        <v>0</v>
      </c>
      <c r="V129" s="42" t="s">
        <v>0</v>
      </c>
      <c r="W129" s="42" t="s">
        <v>0</v>
      </c>
      <c r="X129" s="42" t="s">
        <v>0</v>
      </c>
      <c r="Y129" s="42" t="s">
        <v>0</v>
      </c>
      <c r="Z129" s="42" t="s">
        <v>0</v>
      </c>
      <c r="AA129" s="42" t="s">
        <v>0</v>
      </c>
      <c r="AB129" s="42" t="s">
        <v>0</v>
      </c>
      <c r="AC129" s="42" t="s">
        <v>0</v>
      </c>
      <c r="AD129" s="42" t="s">
        <v>0</v>
      </c>
      <c r="AE129" s="42" t="s">
        <v>0</v>
      </c>
      <c r="AF129" s="42" t="s">
        <v>0</v>
      </c>
      <c r="AG129" s="42" t="s">
        <v>0</v>
      </c>
      <c r="AH129" s="42" t="s">
        <v>0</v>
      </c>
      <c r="AI129" s="42" t="s">
        <v>0</v>
      </c>
      <c r="AJ129" s="42" t="s">
        <v>0</v>
      </c>
      <c r="AK129" s="42" t="s">
        <v>0</v>
      </c>
    </row>
    <row r="130" spans="1:37">
      <c r="A130" s="42" t="s">
        <v>0</v>
      </c>
      <c r="B130" s="42" t="s">
        <v>0</v>
      </c>
      <c r="C130" s="42" t="s">
        <v>0</v>
      </c>
      <c r="D130" s="42" t="s">
        <v>0</v>
      </c>
      <c r="E130" s="42" t="s">
        <v>0</v>
      </c>
      <c r="F130" s="42" t="s">
        <v>0</v>
      </c>
      <c r="G130" s="42" t="s">
        <v>0</v>
      </c>
      <c r="H130" s="42" t="s">
        <v>0</v>
      </c>
      <c r="I130" s="42" t="s">
        <v>0</v>
      </c>
      <c r="J130" s="42" t="s">
        <v>0</v>
      </c>
      <c r="K130" s="42" t="s">
        <v>0</v>
      </c>
      <c r="L130" s="42" t="s">
        <v>0</v>
      </c>
      <c r="M130" s="42" t="s">
        <v>0</v>
      </c>
      <c r="N130" s="42" t="s">
        <v>0</v>
      </c>
      <c r="O130" s="42" t="s">
        <v>0</v>
      </c>
      <c r="P130" s="42" t="s">
        <v>0</v>
      </c>
      <c r="Q130" s="42" t="s">
        <v>0</v>
      </c>
      <c r="R130" s="42" t="s">
        <v>0</v>
      </c>
      <c r="S130" s="42" t="s">
        <v>0</v>
      </c>
      <c r="T130" s="42" t="s">
        <v>0</v>
      </c>
      <c r="U130" s="42" t="s">
        <v>0</v>
      </c>
      <c r="V130" s="42" t="s">
        <v>0</v>
      </c>
      <c r="W130" s="42" t="s">
        <v>0</v>
      </c>
      <c r="X130" s="42" t="s">
        <v>0</v>
      </c>
      <c r="Y130" s="42" t="s">
        <v>0</v>
      </c>
      <c r="Z130" s="42" t="s">
        <v>0</v>
      </c>
      <c r="AA130" s="42" t="s">
        <v>0</v>
      </c>
      <c r="AB130" s="42" t="s">
        <v>0</v>
      </c>
      <c r="AC130" s="42" t="s">
        <v>0</v>
      </c>
      <c r="AD130" s="42" t="s">
        <v>0</v>
      </c>
      <c r="AE130" s="42" t="s">
        <v>0</v>
      </c>
      <c r="AF130" s="42" t="s">
        <v>0</v>
      </c>
      <c r="AG130" s="42" t="s">
        <v>0</v>
      </c>
      <c r="AH130" s="42" t="s">
        <v>0</v>
      </c>
      <c r="AI130" s="42" t="s">
        <v>0</v>
      </c>
      <c r="AJ130" s="42" t="s">
        <v>0</v>
      </c>
      <c r="AK130" s="42" t="s">
        <v>0</v>
      </c>
    </row>
    <row r="131" spans="1:37">
      <c r="A131" s="42" t="s">
        <v>0</v>
      </c>
      <c r="B131" s="42" t="s">
        <v>0</v>
      </c>
      <c r="C131" s="42" t="s">
        <v>0</v>
      </c>
      <c r="D131" s="42" t="s">
        <v>0</v>
      </c>
      <c r="E131" s="42" t="s">
        <v>0</v>
      </c>
      <c r="F131" s="42" t="s">
        <v>0</v>
      </c>
      <c r="G131" s="42" t="s">
        <v>0</v>
      </c>
      <c r="H131" s="42" t="s">
        <v>0</v>
      </c>
      <c r="I131" s="42" t="s">
        <v>0</v>
      </c>
      <c r="J131" s="42" t="s">
        <v>0</v>
      </c>
      <c r="K131" s="42" t="s">
        <v>0</v>
      </c>
      <c r="L131" s="42" t="s">
        <v>0</v>
      </c>
      <c r="M131" s="42" t="s">
        <v>0</v>
      </c>
      <c r="N131" s="42" t="s">
        <v>0</v>
      </c>
      <c r="O131" s="42" t="s">
        <v>0</v>
      </c>
      <c r="P131" s="42" t="s">
        <v>0</v>
      </c>
      <c r="Q131" s="42" t="s">
        <v>0</v>
      </c>
      <c r="R131" s="42" t="s">
        <v>0</v>
      </c>
      <c r="S131" s="42" t="s">
        <v>0</v>
      </c>
      <c r="T131" s="42" t="s">
        <v>0</v>
      </c>
      <c r="U131" s="42" t="s">
        <v>0</v>
      </c>
      <c r="V131" s="42" t="s">
        <v>0</v>
      </c>
      <c r="W131" s="42" t="s">
        <v>0</v>
      </c>
      <c r="X131" s="42" t="s">
        <v>0</v>
      </c>
      <c r="Y131" s="42" t="s">
        <v>0</v>
      </c>
      <c r="Z131" s="42" t="s">
        <v>0</v>
      </c>
      <c r="AA131" s="42" t="s">
        <v>0</v>
      </c>
      <c r="AB131" s="42" t="s">
        <v>0</v>
      </c>
      <c r="AC131" s="42" t="s">
        <v>0</v>
      </c>
      <c r="AD131" s="42" t="s">
        <v>0</v>
      </c>
      <c r="AE131" s="42" t="s">
        <v>0</v>
      </c>
      <c r="AF131" s="42" t="s">
        <v>0</v>
      </c>
      <c r="AG131" s="42" t="s">
        <v>0</v>
      </c>
      <c r="AH131" s="42" t="s">
        <v>0</v>
      </c>
      <c r="AI131" s="42" t="s">
        <v>0</v>
      </c>
      <c r="AJ131" s="42" t="s">
        <v>0</v>
      </c>
      <c r="AK131" s="42" t="s">
        <v>0</v>
      </c>
    </row>
    <row r="132" spans="1:37">
      <c r="A132" s="42" t="s">
        <v>0</v>
      </c>
      <c r="B132" s="42" t="s">
        <v>0</v>
      </c>
      <c r="C132" s="42" t="s">
        <v>0</v>
      </c>
      <c r="D132" s="42" t="s">
        <v>0</v>
      </c>
      <c r="E132" s="42" t="s">
        <v>0</v>
      </c>
      <c r="F132" s="42" t="s">
        <v>0</v>
      </c>
      <c r="G132" s="42" t="s">
        <v>0</v>
      </c>
      <c r="H132" s="42" t="s">
        <v>0</v>
      </c>
      <c r="I132" s="42" t="s">
        <v>0</v>
      </c>
      <c r="J132" s="42" t="s">
        <v>0</v>
      </c>
      <c r="K132" s="42" t="s">
        <v>0</v>
      </c>
      <c r="L132" s="42" t="s">
        <v>0</v>
      </c>
      <c r="M132" s="42" t="s">
        <v>0</v>
      </c>
      <c r="N132" s="42" t="s">
        <v>0</v>
      </c>
      <c r="O132" s="42" t="s">
        <v>0</v>
      </c>
      <c r="P132" s="42" t="s">
        <v>0</v>
      </c>
      <c r="Q132" s="42" t="s">
        <v>0</v>
      </c>
      <c r="R132" s="42" t="s">
        <v>0</v>
      </c>
      <c r="S132" s="42" t="s">
        <v>0</v>
      </c>
      <c r="T132" s="42" t="s">
        <v>0</v>
      </c>
      <c r="U132" s="42" t="s">
        <v>0</v>
      </c>
      <c r="V132" s="42" t="s">
        <v>0</v>
      </c>
      <c r="W132" s="42" t="s">
        <v>0</v>
      </c>
      <c r="X132" s="42" t="s">
        <v>0</v>
      </c>
      <c r="Y132" s="42" t="s">
        <v>0</v>
      </c>
      <c r="Z132" s="42" t="s">
        <v>0</v>
      </c>
      <c r="AA132" s="42" t="s">
        <v>0</v>
      </c>
      <c r="AB132" s="42" t="s">
        <v>0</v>
      </c>
      <c r="AC132" s="42" t="s">
        <v>0</v>
      </c>
      <c r="AD132" s="42" t="s">
        <v>0</v>
      </c>
      <c r="AE132" s="42" t="s">
        <v>0</v>
      </c>
      <c r="AF132" s="42" t="s">
        <v>0</v>
      </c>
      <c r="AG132" s="42" t="s">
        <v>0</v>
      </c>
      <c r="AH132" s="42" t="s">
        <v>0</v>
      </c>
      <c r="AI132" s="42" t="s">
        <v>0</v>
      </c>
      <c r="AJ132" s="42" t="s">
        <v>0</v>
      </c>
      <c r="AK132" s="42" t="s">
        <v>0</v>
      </c>
    </row>
    <row r="133" spans="1:37">
      <c r="A133" s="42" t="s">
        <v>0</v>
      </c>
      <c r="B133" s="42" t="s">
        <v>0</v>
      </c>
      <c r="C133" s="42" t="s">
        <v>0</v>
      </c>
      <c r="D133" s="42" t="s">
        <v>0</v>
      </c>
      <c r="E133" s="42" t="s">
        <v>0</v>
      </c>
      <c r="F133" s="42" t="s">
        <v>0</v>
      </c>
      <c r="G133" s="42" t="s">
        <v>0</v>
      </c>
      <c r="H133" s="42" t="s">
        <v>0</v>
      </c>
      <c r="I133" s="42" t="s">
        <v>0</v>
      </c>
      <c r="J133" s="42" t="s">
        <v>0</v>
      </c>
      <c r="K133" s="42" t="s">
        <v>0</v>
      </c>
      <c r="L133" s="42" t="s">
        <v>0</v>
      </c>
      <c r="M133" s="42" t="s">
        <v>0</v>
      </c>
      <c r="N133" s="42" t="s">
        <v>0</v>
      </c>
      <c r="O133" s="42" t="s">
        <v>0</v>
      </c>
      <c r="P133" s="42" t="s">
        <v>0</v>
      </c>
      <c r="Q133" s="42" t="s">
        <v>0</v>
      </c>
      <c r="R133" s="42" t="s">
        <v>0</v>
      </c>
      <c r="S133" s="42" t="s">
        <v>0</v>
      </c>
      <c r="T133" s="42" t="s">
        <v>0</v>
      </c>
      <c r="U133" s="42" t="s">
        <v>0</v>
      </c>
      <c r="V133" s="42" t="s">
        <v>0</v>
      </c>
      <c r="W133" s="42" t="s">
        <v>0</v>
      </c>
      <c r="X133" s="42" t="s">
        <v>0</v>
      </c>
      <c r="Y133" s="42" t="s">
        <v>0</v>
      </c>
      <c r="Z133" s="42" t="s">
        <v>0</v>
      </c>
      <c r="AA133" s="42" t="s">
        <v>0</v>
      </c>
      <c r="AB133" s="42" t="s">
        <v>0</v>
      </c>
      <c r="AC133" s="42" t="s">
        <v>0</v>
      </c>
      <c r="AD133" s="42" t="s">
        <v>0</v>
      </c>
      <c r="AE133" s="42" t="s">
        <v>0</v>
      </c>
      <c r="AF133" s="42" t="s">
        <v>0</v>
      </c>
      <c r="AG133" s="42" t="s">
        <v>0</v>
      </c>
      <c r="AH133" s="42" t="s">
        <v>0</v>
      </c>
      <c r="AI133" s="42" t="s">
        <v>0</v>
      </c>
      <c r="AJ133" s="42" t="s">
        <v>0</v>
      </c>
      <c r="AK133" s="42" t="s">
        <v>0</v>
      </c>
    </row>
    <row r="134" spans="1:37">
      <c r="A134" s="42" t="s">
        <v>0</v>
      </c>
      <c r="B134" s="42" t="s">
        <v>0</v>
      </c>
      <c r="C134" s="42" t="s">
        <v>0</v>
      </c>
      <c r="D134" s="42" t="s">
        <v>0</v>
      </c>
      <c r="E134" s="42" t="s">
        <v>0</v>
      </c>
      <c r="F134" s="42" t="s">
        <v>0</v>
      </c>
      <c r="G134" s="42" t="s">
        <v>0</v>
      </c>
      <c r="H134" s="42" t="s">
        <v>0</v>
      </c>
      <c r="I134" s="42" t="s">
        <v>0</v>
      </c>
      <c r="J134" s="42" t="s">
        <v>0</v>
      </c>
      <c r="K134" s="42" t="s">
        <v>0</v>
      </c>
      <c r="L134" s="42" t="s">
        <v>0</v>
      </c>
      <c r="M134" s="42" t="s">
        <v>0</v>
      </c>
      <c r="N134" s="42" t="s">
        <v>0</v>
      </c>
      <c r="O134" s="42" t="s">
        <v>0</v>
      </c>
      <c r="P134" s="42" t="s">
        <v>0</v>
      </c>
      <c r="Q134" s="42" t="s">
        <v>0</v>
      </c>
      <c r="R134" s="42" t="s">
        <v>0</v>
      </c>
      <c r="S134" s="42" t="s">
        <v>0</v>
      </c>
      <c r="T134" s="42" t="s">
        <v>0</v>
      </c>
      <c r="U134" s="42" t="s">
        <v>0</v>
      </c>
      <c r="V134" s="42" t="s">
        <v>0</v>
      </c>
      <c r="W134" s="42" t="s">
        <v>0</v>
      </c>
      <c r="X134" s="42" t="s">
        <v>0</v>
      </c>
      <c r="Y134" s="42" t="s">
        <v>0</v>
      </c>
      <c r="Z134" s="42" t="s">
        <v>0</v>
      </c>
      <c r="AA134" s="42" t="s">
        <v>0</v>
      </c>
      <c r="AB134" s="42" t="s">
        <v>0</v>
      </c>
      <c r="AC134" s="42" t="s">
        <v>0</v>
      </c>
      <c r="AD134" s="42" t="s">
        <v>0</v>
      </c>
      <c r="AE134" s="42" t="s">
        <v>0</v>
      </c>
      <c r="AF134" s="42" t="s">
        <v>0</v>
      </c>
      <c r="AG134" s="42" t="s">
        <v>0</v>
      </c>
      <c r="AH134" s="42" t="s">
        <v>0</v>
      </c>
      <c r="AI134" s="42" t="s">
        <v>0</v>
      </c>
      <c r="AJ134" s="42" t="s">
        <v>0</v>
      </c>
      <c r="AK134" s="42" t="s">
        <v>0</v>
      </c>
    </row>
    <row r="135" spans="1:37">
      <c r="A135" s="42" t="s">
        <v>0</v>
      </c>
      <c r="B135" s="42" t="s">
        <v>0</v>
      </c>
      <c r="C135" s="42" t="s">
        <v>0</v>
      </c>
      <c r="D135" s="42" t="s">
        <v>0</v>
      </c>
      <c r="E135" s="42" t="s">
        <v>0</v>
      </c>
      <c r="F135" s="42" t="s">
        <v>0</v>
      </c>
      <c r="G135" s="42" t="s">
        <v>0</v>
      </c>
      <c r="H135" s="42" t="s">
        <v>0</v>
      </c>
      <c r="I135" s="42" t="s">
        <v>0</v>
      </c>
      <c r="J135" s="42" t="s">
        <v>0</v>
      </c>
      <c r="K135" s="42" t="s">
        <v>0</v>
      </c>
      <c r="L135" s="42" t="s">
        <v>0</v>
      </c>
      <c r="M135" s="42" t="s">
        <v>0</v>
      </c>
      <c r="N135" s="42" t="s">
        <v>0</v>
      </c>
      <c r="O135" s="42" t="s">
        <v>0</v>
      </c>
      <c r="P135" s="42" t="s">
        <v>0</v>
      </c>
      <c r="Q135" s="42" t="s">
        <v>0</v>
      </c>
      <c r="R135" s="42" t="s">
        <v>0</v>
      </c>
      <c r="S135" s="42" t="s">
        <v>0</v>
      </c>
      <c r="T135" s="42" t="s">
        <v>0</v>
      </c>
      <c r="U135" s="42" t="s">
        <v>0</v>
      </c>
      <c r="V135" s="42" t="s">
        <v>0</v>
      </c>
      <c r="W135" s="42" t="s">
        <v>0</v>
      </c>
      <c r="X135" s="42" t="s">
        <v>0</v>
      </c>
      <c r="Y135" s="42" t="s">
        <v>0</v>
      </c>
      <c r="Z135" s="42" t="s">
        <v>0</v>
      </c>
      <c r="AA135" s="42" t="s">
        <v>0</v>
      </c>
      <c r="AB135" s="42" t="s">
        <v>0</v>
      </c>
      <c r="AC135" s="42" t="s">
        <v>0</v>
      </c>
      <c r="AD135" s="42" t="s">
        <v>0</v>
      </c>
      <c r="AE135" s="42" t="s">
        <v>0</v>
      </c>
      <c r="AF135" s="42" t="s">
        <v>0</v>
      </c>
      <c r="AG135" s="42" t="s">
        <v>0</v>
      </c>
      <c r="AH135" s="42" t="s">
        <v>0</v>
      </c>
      <c r="AI135" s="42" t="s">
        <v>0</v>
      </c>
      <c r="AJ135" s="42" t="s">
        <v>0</v>
      </c>
      <c r="AK135" s="42" t="s">
        <v>0</v>
      </c>
    </row>
    <row r="136" spans="1:37">
      <c r="A136" s="42" t="s">
        <v>0</v>
      </c>
      <c r="B136" s="42" t="s">
        <v>0</v>
      </c>
      <c r="C136" s="42" t="s">
        <v>0</v>
      </c>
      <c r="D136" s="42" t="s">
        <v>0</v>
      </c>
      <c r="E136" s="42" t="s">
        <v>0</v>
      </c>
      <c r="F136" s="42" t="s">
        <v>0</v>
      </c>
      <c r="G136" s="42" t="s">
        <v>0</v>
      </c>
      <c r="H136" s="42" t="s">
        <v>0</v>
      </c>
      <c r="I136" s="42" t="s">
        <v>0</v>
      </c>
      <c r="J136" s="42" t="s">
        <v>0</v>
      </c>
      <c r="K136" s="42" t="s">
        <v>0</v>
      </c>
      <c r="L136" s="42" t="s">
        <v>0</v>
      </c>
      <c r="M136" s="42" t="s">
        <v>0</v>
      </c>
      <c r="N136" s="42" t="s">
        <v>0</v>
      </c>
      <c r="O136" s="42" t="s">
        <v>0</v>
      </c>
      <c r="P136" s="42" t="s">
        <v>0</v>
      </c>
      <c r="Q136" s="42" t="s">
        <v>0</v>
      </c>
      <c r="R136" s="42" t="s">
        <v>0</v>
      </c>
      <c r="S136" s="42" t="s">
        <v>0</v>
      </c>
      <c r="T136" s="42" t="s">
        <v>0</v>
      </c>
      <c r="U136" s="42" t="s">
        <v>0</v>
      </c>
      <c r="V136" s="42" t="s">
        <v>0</v>
      </c>
      <c r="W136" s="42" t="s">
        <v>0</v>
      </c>
      <c r="X136" s="42" t="s">
        <v>0</v>
      </c>
      <c r="Y136" s="42" t="s">
        <v>0</v>
      </c>
      <c r="Z136" s="42" t="s">
        <v>0</v>
      </c>
      <c r="AA136" s="42" t="s">
        <v>0</v>
      </c>
      <c r="AB136" s="42" t="s">
        <v>0</v>
      </c>
      <c r="AC136" s="42" t="s">
        <v>0</v>
      </c>
      <c r="AD136" s="42" t="s">
        <v>0</v>
      </c>
      <c r="AE136" s="42" t="s">
        <v>0</v>
      </c>
      <c r="AF136" s="42" t="s">
        <v>0</v>
      </c>
      <c r="AG136" s="42" t="s">
        <v>0</v>
      </c>
      <c r="AH136" s="42" t="s">
        <v>0</v>
      </c>
      <c r="AI136" s="42" t="s">
        <v>0</v>
      </c>
      <c r="AJ136" s="42" t="s">
        <v>0</v>
      </c>
      <c r="AK136" s="42" t="s">
        <v>0</v>
      </c>
    </row>
    <row r="137" spans="1:37">
      <c r="A137" s="42" t="s">
        <v>0</v>
      </c>
      <c r="B137" s="42" t="s">
        <v>0</v>
      </c>
      <c r="C137" s="42" t="s">
        <v>0</v>
      </c>
      <c r="D137" s="42" t="s">
        <v>0</v>
      </c>
      <c r="E137" s="42" t="s">
        <v>0</v>
      </c>
      <c r="F137" s="42" t="s">
        <v>0</v>
      </c>
      <c r="G137" s="42" t="s">
        <v>0</v>
      </c>
      <c r="H137" s="42" t="s">
        <v>0</v>
      </c>
      <c r="I137" s="42" t="s">
        <v>0</v>
      </c>
      <c r="J137" s="42" t="s">
        <v>0</v>
      </c>
      <c r="K137" s="42" t="s">
        <v>0</v>
      </c>
      <c r="L137" s="42" t="s">
        <v>0</v>
      </c>
      <c r="M137" s="42" t="s">
        <v>0</v>
      </c>
      <c r="N137" s="42" t="s">
        <v>0</v>
      </c>
      <c r="O137" s="42" t="s">
        <v>0</v>
      </c>
      <c r="P137" s="42" t="s">
        <v>0</v>
      </c>
      <c r="Q137" s="42" t="s">
        <v>0</v>
      </c>
      <c r="R137" s="42" t="s">
        <v>0</v>
      </c>
      <c r="S137" s="42" t="s">
        <v>0</v>
      </c>
      <c r="T137" s="42" t="s">
        <v>0</v>
      </c>
      <c r="U137" s="42" t="s">
        <v>0</v>
      </c>
      <c r="V137" s="42" t="s">
        <v>0</v>
      </c>
      <c r="W137" s="42" t="s">
        <v>0</v>
      </c>
      <c r="X137" s="42" t="s">
        <v>0</v>
      </c>
      <c r="Y137" s="42" t="s">
        <v>0</v>
      </c>
      <c r="Z137" s="42" t="s">
        <v>0</v>
      </c>
      <c r="AA137" s="42" t="s">
        <v>0</v>
      </c>
      <c r="AB137" s="42" t="s">
        <v>0</v>
      </c>
      <c r="AC137" s="42" t="s">
        <v>0</v>
      </c>
      <c r="AD137" s="42" t="s">
        <v>0</v>
      </c>
      <c r="AE137" s="42" t="s">
        <v>0</v>
      </c>
      <c r="AF137" s="42" t="s">
        <v>0</v>
      </c>
      <c r="AG137" s="42" t="s">
        <v>0</v>
      </c>
      <c r="AH137" s="42" t="s">
        <v>0</v>
      </c>
      <c r="AI137" s="42" t="s">
        <v>0</v>
      </c>
      <c r="AJ137" s="42" t="s">
        <v>0</v>
      </c>
      <c r="AK137" s="42" t="s">
        <v>0</v>
      </c>
    </row>
    <row r="138" spans="1:37">
      <c r="A138" s="42" t="s">
        <v>0</v>
      </c>
      <c r="B138" s="42" t="s">
        <v>0</v>
      </c>
      <c r="C138" s="42" t="s">
        <v>0</v>
      </c>
      <c r="D138" s="42" t="s">
        <v>0</v>
      </c>
      <c r="E138" s="42" t="s">
        <v>0</v>
      </c>
      <c r="F138" s="42" t="s">
        <v>0</v>
      </c>
      <c r="G138" s="42" t="s">
        <v>0</v>
      </c>
      <c r="H138" s="42" t="s">
        <v>0</v>
      </c>
      <c r="I138" s="42" t="s">
        <v>0</v>
      </c>
      <c r="J138" s="42" t="s">
        <v>0</v>
      </c>
      <c r="K138" s="42" t="s">
        <v>0</v>
      </c>
      <c r="L138" s="42" t="s">
        <v>0</v>
      </c>
      <c r="M138" s="42" t="s">
        <v>0</v>
      </c>
      <c r="N138" s="42" t="s">
        <v>0</v>
      </c>
      <c r="O138" s="42" t="s">
        <v>0</v>
      </c>
      <c r="P138" s="42" t="s">
        <v>0</v>
      </c>
      <c r="Q138" s="42" t="s">
        <v>0</v>
      </c>
      <c r="R138" s="42" t="s">
        <v>0</v>
      </c>
      <c r="S138" s="42" t="s">
        <v>0</v>
      </c>
      <c r="T138" s="42" t="s">
        <v>0</v>
      </c>
      <c r="U138" s="42" t="s">
        <v>0</v>
      </c>
      <c r="V138" s="42" t="s">
        <v>0</v>
      </c>
      <c r="W138" s="42" t="s">
        <v>0</v>
      </c>
      <c r="X138" s="42" t="s">
        <v>0</v>
      </c>
      <c r="Y138" s="42" t="s">
        <v>0</v>
      </c>
      <c r="Z138" s="42" t="s">
        <v>0</v>
      </c>
      <c r="AA138" s="42" t="s">
        <v>0</v>
      </c>
      <c r="AB138" s="42" t="s">
        <v>0</v>
      </c>
      <c r="AC138" s="42" t="s">
        <v>0</v>
      </c>
      <c r="AD138" s="42" t="s">
        <v>0</v>
      </c>
      <c r="AE138" s="42" t="s">
        <v>0</v>
      </c>
      <c r="AF138" s="42" t="s">
        <v>0</v>
      </c>
      <c r="AG138" s="42" t="s">
        <v>0</v>
      </c>
      <c r="AH138" s="42" t="s">
        <v>0</v>
      </c>
      <c r="AI138" s="42" t="s">
        <v>0</v>
      </c>
      <c r="AJ138" s="42" t="s">
        <v>0</v>
      </c>
      <c r="AK138" s="42" t="s">
        <v>0</v>
      </c>
    </row>
    <row r="139" spans="1:37">
      <c r="A139" s="42" t="s">
        <v>0</v>
      </c>
      <c r="B139" s="42" t="s">
        <v>0</v>
      </c>
      <c r="C139" s="42" t="s">
        <v>0</v>
      </c>
      <c r="D139" s="42" t="s">
        <v>0</v>
      </c>
      <c r="E139" s="42" t="s">
        <v>0</v>
      </c>
      <c r="F139" s="42" t="s">
        <v>0</v>
      </c>
      <c r="G139" s="42" t="s">
        <v>0</v>
      </c>
      <c r="H139" s="42" t="s">
        <v>0</v>
      </c>
      <c r="I139" s="42" t="s">
        <v>0</v>
      </c>
      <c r="J139" s="42" t="s">
        <v>0</v>
      </c>
      <c r="K139" s="42" t="s">
        <v>0</v>
      </c>
      <c r="L139" s="42" t="s">
        <v>0</v>
      </c>
      <c r="M139" s="42" t="s">
        <v>0</v>
      </c>
      <c r="N139" s="42" t="s">
        <v>0</v>
      </c>
      <c r="O139" s="42" t="s">
        <v>0</v>
      </c>
      <c r="P139" s="42" t="s">
        <v>0</v>
      </c>
      <c r="Q139" s="42" t="s">
        <v>0</v>
      </c>
      <c r="R139" s="42" t="s">
        <v>0</v>
      </c>
      <c r="S139" s="42" t="s">
        <v>0</v>
      </c>
      <c r="T139" s="42" t="s">
        <v>0</v>
      </c>
      <c r="U139" s="42" t="s">
        <v>0</v>
      </c>
      <c r="V139" s="42" t="s">
        <v>0</v>
      </c>
      <c r="W139" s="42" t="s">
        <v>0</v>
      </c>
      <c r="X139" s="42" t="s">
        <v>0</v>
      </c>
      <c r="Y139" s="42" t="s">
        <v>0</v>
      </c>
      <c r="Z139" s="42" t="s">
        <v>0</v>
      </c>
      <c r="AA139" s="42" t="s">
        <v>0</v>
      </c>
      <c r="AB139" s="42" t="s">
        <v>0</v>
      </c>
      <c r="AC139" s="42" t="s">
        <v>0</v>
      </c>
      <c r="AD139" s="42" t="s">
        <v>0</v>
      </c>
      <c r="AE139" s="42" t="s">
        <v>0</v>
      </c>
      <c r="AF139" s="42" t="s">
        <v>0</v>
      </c>
      <c r="AG139" s="42" t="s">
        <v>0</v>
      </c>
      <c r="AH139" s="42" t="s">
        <v>0</v>
      </c>
      <c r="AI139" s="42" t="s">
        <v>0</v>
      </c>
      <c r="AJ139" s="42" t="s">
        <v>0</v>
      </c>
      <c r="AK139" s="42" t="s">
        <v>0</v>
      </c>
    </row>
  </sheetData>
  <mergeCells count="25">
    <mergeCell ref="D1:AB1"/>
    <mergeCell ref="D2:I2"/>
    <mergeCell ref="C3:J3"/>
    <mergeCell ref="X3:AB3"/>
    <mergeCell ref="AC3:AK3"/>
    <mergeCell ref="A42:AK42"/>
    <mergeCell ref="A80:AK80"/>
    <mergeCell ref="A6:A41"/>
    <mergeCell ref="A44:A79"/>
    <mergeCell ref="A82:A117"/>
    <mergeCell ref="B6:B8"/>
    <mergeCell ref="B9:B16"/>
    <mergeCell ref="B17:B34"/>
    <mergeCell ref="B35:B36"/>
    <mergeCell ref="B37:B40"/>
    <mergeCell ref="B44:B46"/>
    <mergeCell ref="B47:B54"/>
    <mergeCell ref="B55:B72"/>
    <mergeCell ref="B73:B74"/>
    <mergeCell ref="B75:B78"/>
    <mergeCell ref="B82:B84"/>
    <mergeCell ref="B85:B92"/>
    <mergeCell ref="B93:B110"/>
    <mergeCell ref="B111:B112"/>
    <mergeCell ref="B113:B116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39"/>
  <sheetViews>
    <sheetView workbookViewId="0">
      <selection activeCell="A1" sqref="A1"/>
    </sheetView>
  </sheetViews>
  <sheetFormatPr defaultColWidth="14" defaultRowHeight="16.5"/>
  <cols>
    <col min="3" max="11" width="9.70833333333333" style="1" customWidth="1"/>
  </cols>
  <sheetData>
    <row r="1" spans="1:37">
      <c r="A1" s="40" t="s">
        <v>77</v>
      </c>
      <c r="B1" s="41" t="s">
        <v>0</v>
      </c>
      <c r="C1" s="41" t="s">
        <v>0</v>
      </c>
      <c r="D1" s="41" t="s">
        <v>0</v>
      </c>
      <c r="E1" s="41" t="s">
        <v>0</v>
      </c>
      <c r="F1" s="41" t="s">
        <v>0</v>
      </c>
      <c r="G1" s="41" t="s">
        <v>0</v>
      </c>
      <c r="H1" s="41" t="s">
        <v>0</v>
      </c>
      <c r="I1" s="41" t="s">
        <v>0</v>
      </c>
      <c r="J1" s="41" t="s">
        <v>0</v>
      </c>
      <c r="K1" s="41" t="s">
        <v>0</v>
      </c>
      <c r="L1" s="41" t="s">
        <v>0</v>
      </c>
      <c r="M1" s="41" t="s">
        <v>0</v>
      </c>
      <c r="N1" s="41" t="s">
        <v>0</v>
      </c>
      <c r="O1" s="41" t="s">
        <v>0</v>
      </c>
      <c r="P1" s="42" t="s">
        <v>0</v>
      </c>
      <c r="Q1" s="42" t="s">
        <v>0</v>
      </c>
      <c r="R1" s="42" t="s">
        <v>0</v>
      </c>
      <c r="S1" s="42" t="s">
        <v>0</v>
      </c>
      <c r="T1" s="42" t="s">
        <v>0</v>
      </c>
      <c r="U1" s="42" t="s">
        <v>0</v>
      </c>
      <c r="V1" s="42" t="s">
        <v>0</v>
      </c>
      <c r="W1" s="42" t="s">
        <v>0</v>
      </c>
      <c r="X1" s="42" t="s">
        <v>0</v>
      </c>
      <c r="Y1" s="42" t="s">
        <v>0</v>
      </c>
      <c r="Z1" s="42" t="s">
        <v>0</v>
      </c>
      <c r="AA1" s="42" t="s">
        <v>0</v>
      </c>
      <c r="AB1" s="42" t="s">
        <v>0</v>
      </c>
    </row>
    <row r="2" spans="1:37">
      <c r="A2" s="41" t="s">
        <v>0</v>
      </c>
      <c r="B2" s="41" t="s">
        <v>0</v>
      </c>
      <c r="C2" s="41" t="s">
        <v>0</v>
      </c>
      <c r="D2" s="41" t="s">
        <v>0</v>
      </c>
      <c r="E2" s="41" t="s">
        <v>0</v>
      </c>
      <c r="F2" s="41" t="s">
        <v>0</v>
      </c>
      <c r="G2" s="41" t="s">
        <v>0</v>
      </c>
      <c r="H2" s="41" t="s">
        <v>0</v>
      </c>
      <c r="I2" s="41" t="s">
        <v>0</v>
      </c>
      <c r="J2" s="41" t="s">
        <v>0</v>
      </c>
      <c r="K2" s="41" t="s">
        <v>0</v>
      </c>
      <c r="L2" s="41" t="s">
        <v>0</v>
      </c>
      <c r="M2" s="41" t="s">
        <v>0</v>
      </c>
      <c r="N2" s="41" t="s">
        <v>0</v>
      </c>
      <c r="O2" s="41" t="s">
        <v>0</v>
      </c>
      <c r="P2" s="42" t="s">
        <v>0</v>
      </c>
      <c r="Q2" s="42" t="s">
        <v>0</v>
      </c>
      <c r="R2" s="42" t="s">
        <v>0</v>
      </c>
      <c r="S2" s="42" t="s">
        <v>0</v>
      </c>
      <c r="T2" s="42" t="s">
        <v>0</v>
      </c>
      <c r="U2" s="42" t="s">
        <v>0</v>
      </c>
      <c r="V2" s="42" t="s">
        <v>0</v>
      </c>
      <c r="W2" s="42" t="s">
        <v>0</v>
      </c>
      <c r="X2" s="42" t="s">
        <v>0</v>
      </c>
      <c r="Y2" s="42" t="s">
        <v>0</v>
      </c>
      <c r="Z2" s="42" t="s">
        <v>0</v>
      </c>
      <c r="AA2" s="42" t="s">
        <v>0</v>
      </c>
      <c r="AB2" s="42" t="s">
        <v>0</v>
      </c>
    </row>
    <row r="3" spans="1:37">
      <c r="A3" s="41" t="s">
        <v>0</v>
      </c>
      <c r="B3" s="41" t="s">
        <v>0</v>
      </c>
      <c r="C3" s="41" t="s">
        <v>0</v>
      </c>
      <c r="D3" s="41" t="s">
        <v>0</v>
      </c>
      <c r="E3" s="41" t="s">
        <v>0</v>
      </c>
      <c r="F3" s="41" t="s">
        <v>0</v>
      </c>
      <c r="G3" s="41" t="s">
        <v>0</v>
      </c>
      <c r="H3" s="41" t="s">
        <v>0</v>
      </c>
      <c r="I3" s="41" t="s">
        <v>0</v>
      </c>
      <c r="J3" s="41" t="s">
        <v>0</v>
      </c>
      <c r="K3" s="41" t="s">
        <v>0</v>
      </c>
      <c r="L3" s="41" t="s">
        <v>0</v>
      </c>
      <c r="M3" s="41" t="s">
        <v>0</v>
      </c>
      <c r="N3" s="41" t="s">
        <v>0</v>
      </c>
      <c r="O3" s="41" t="s">
        <v>0</v>
      </c>
      <c r="P3" s="42" t="s">
        <v>0</v>
      </c>
      <c r="Q3" s="42" t="s">
        <v>0</v>
      </c>
      <c r="R3" s="42" t="s">
        <v>0</v>
      </c>
      <c r="S3" s="42" t="s">
        <v>0</v>
      </c>
      <c r="T3" s="42" t="s">
        <v>0</v>
      </c>
      <c r="U3" s="42" t="s">
        <v>0</v>
      </c>
      <c r="V3" s="42" t="s">
        <v>0</v>
      </c>
      <c r="W3" s="42" t="s">
        <v>0</v>
      </c>
      <c r="X3" s="42" t="s">
        <v>0</v>
      </c>
      <c r="AC3" s="43" t="s">
        <v>78</v>
      </c>
      <c r="AD3" s="35"/>
      <c r="AE3" s="35"/>
      <c r="AF3" s="35"/>
      <c r="AG3" s="35"/>
      <c r="AH3" s="35"/>
      <c r="AI3" s="35"/>
      <c r="AJ3" s="35"/>
      <c r="AK3" s="44"/>
    </row>
    <row r="4" spans="1:37">
      <c r="A4" s="41" t="s">
        <v>0</v>
      </c>
      <c r="B4" s="41" t="s">
        <v>0</v>
      </c>
      <c r="C4" s="41" t="s">
        <v>0</v>
      </c>
      <c r="D4" s="41" t="s">
        <v>0</v>
      </c>
      <c r="E4" s="41" t="s">
        <v>0</v>
      </c>
      <c r="F4" s="41" t="s">
        <v>0</v>
      </c>
      <c r="G4" s="41" t="s">
        <v>0</v>
      </c>
      <c r="H4" s="41" t="s">
        <v>0</v>
      </c>
      <c r="I4" s="41" t="s">
        <v>0</v>
      </c>
      <c r="J4" s="41" t="s">
        <v>0</v>
      </c>
      <c r="K4" s="41" t="s">
        <v>0</v>
      </c>
      <c r="L4" s="41" t="s">
        <v>0</v>
      </c>
      <c r="M4" s="41" t="s">
        <v>0</v>
      </c>
      <c r="N4" s="41" t="s">
        <v>0</v>
      </c>
      <c r="O4" s="41" t="s">
        <v>0</v>
      </c>
      <c r="P4" s="42" t="s">
        <v>0</v>
      </c>
      <c r="Q4" s="42" t="s">
        <v>0</v>
      </c>
      <c r="R4" s="42" t="s">
        <v>0</v>
      </c>
      <c r="S4" s="42" t="s">
        <v>0</v>
      </c>
      <c r="T4" s="42" t="s">
        <v>0</v>
      </c>
      <c r="U4" s="42" t="s">
        <v>0</v>
      </c>
      <c r="V4" s="42" t="s">
        <v>0</v>
      </c>
      <c r="W4" s="42" t="s">
        <v>0</v>
      </c>
      <c r="X4" t="s">
        <v>0</v>
      </c>
      <c r="Y4" t="s">
        <v>0</v>
      </c>
      <c r="Z4" t="s">
        <v>0</v>
      </c>
      <c r="AA4" t="s">
        <v>0</v>
      </c>
      <c r="AB4" t="s">
        <v>0</v>
      </c>
      <c r="AC4" s="45" t="s">
        <v>79</v>
      </c>
      <c r="AD4" s="32" t="s">
        <v>80</v>
      </c>
      <c r="AE4" s="32" t="s">
        <v>81</v>
      </c>
      <c r="AF4" s="32" t="s">
        <v>79</v>
      </c>
      <c r="AG4" s="32" t="s">
        <v>80</v>
      </c>
      <c r="AH4" s="32" t="s">
        <v>81</v>
      </c>
      <c r="AI4" s="32" t="s">
        <v>82</v>
      </c>
      <c r="AJ4" s="32" t="s">
        <v>83</v>
      </c>
      <c r="AK4" s="32" t="s">
        <v>80</v>
      </c>
    </row>
    <row r="5" spans="1:37">
      <c r="A5" s="41" t="s">
        <v>0</v>
      </c>
      <c r="B5" s="41" t="s">
        <v>0</v>
      </c>
      <c r="C5" s="41" t="s">
        <v>0</v>
      </c>
      <c r="D5" s="41" t="s">
        <v>0</v>
      </c>
      <c r="E5" s="41" t="s">
        <v>0</v>
      </c>
      <c r="F5" s="41" t="s">
        <v>0</v>
      </c>
      <c r="G5" s="41" t="s">
        <v>0</v>
      </c>
      <c r="H5" s="41" t="s">
        <v>0</v>
      </c>
      <c r="I5" s="41" t="s">
        <v>0</v>
      </c>
      <c r="J5" s="41" t="s">
        <v>0</v>
      </c>
      <c r="K5" s="41" t="s">
        <v>0</v>
      </c>
      <c r="L5" s="41" t="s">
        <v>0</v>
      </c>
      <c r="M5" s="41" t="s">
        <v>0</v>
      </c>
      <c r="N5" s="41" t="s">
        <v>0</v>
      </c>
      <c r="O5" s="41" t="s">
        <v>0</v>
      </c>
      <c r="P5" s="42" t="s">
        <v>0</v>
      </c>
      <c r="Q5" s="42" t="s">
        <v>0</v>
      </c>
      <c r="R5" s="42" t="s">
        <v>0</v>
      </c>
      <c r="S5" s="42" t="s">
        <v>0</v>
      </c>
      <c r="T5" s="42" t="s">
        <v>0</v>
      </c>
      <c r="U5" s="42" t="s">
        <v>0</v>
      </c>
      <c r="V5" s="42" t="s">
        <v>0</v>
      </c>
      <c r="W5" s="42" t="s">
        <v>0</v>
      </c>
      <c r="X5" s="42" t="s">
        <v>0</v>
      </c>
      <c r="Y5" s="42" t="s">
        <v>0</v>
      </c>
      <c r="Z5" s="42" t="s">
        <v>0</v>
      </c>
      <c r="AA5" s="46" t="s">
        <v>0</v>
      </c>
      <c r="AB5" s="46" t="s">
        <v>0</v>
      </c>
      <c r="AC5" s="45" t="s">
        <v>84</v>
      </c>
      <c r="AD5" s="32" t="s">
        <v>85</v>
      </c>
      <c r="AE5" s="32" t="s">
        <v>86</v>
      </c>
      <c r="AF5" s="32" t="s">
        <v>87</v>
      </c>
      <c r="AG5" s="32" t="s">
        <v>88</v>
      </c>
      <c r="AH5" s="32" t="s">
        <v>89</v>
      </c>
      <c r="AI5" s="32" t="s">
        <v>90</v>
      </c>
      <c r="AJ5" s="32" t="s">
        <v>91</v>
      </c>
      <c r="AK5" s="32" t="s">
        <v>92</v>
      </c>
    </row>
    <row r="6" spans="1:37">
      <c r="A6" s="41" t="s">
        <v>0</v>
      </c>
      <c r="B6" s="41" t="s">
        <v>0</v>
      </c>
      <c r="C6" s="41" t="s">
        <v>0</v>
      </c>
      <c r="D6" s="41" t="s">
        <v>0</v>
      </c>
      <c r="E6" s="41" t="s">
        <v>0</v>
      </c>
      <c r="F6" s="41" t="s">
        <v>0</v>
      </c>
      <c r="G6" s="41" t="s">
        <v>0</v>
      </c>
      <c r="H6" s="41" t="s">
        <v>0</v>
      </c>
      <c r="I6" s="41" t="s">
        <v>0</v>
      </c>
      <c r="J6" s="41" t="s">
        <v>0</v>
      </c>
      <c r="K6" s="41" t="s">
        <v>0</v>
      </c>
      <c r="L6" s="41" t="s">
        <v>0</v>
      </c>
      <c r="M6" s="41" t="s">
        <v>0</v>
      </c>
      <c r="N6" s="41" t="s">
        <v>0</v>
      </c>
      <c r="O6" s="41" t="s">
        <v>0</v>
      </c>
      <c r="P6" s="42" t="s">
        <v>0</v>
      </c>
      <c r="Q6" s="42" t="s">
        <v>0</v>
      </c>
      <c r="R6" s="42" t="s">
        <v>0</v>
      </c>
      <c r="S6" s="42" t="s">
        <v>0</v>
      </c>
      <c r="T6" s="42" t="s">
        <v>0</v>
      </c>
      <c r="U6" s="42" t="s">
        <v>0</v>
      </c>
      <c r="V6" s="42" t="s">
        <v>0</v>
      </c>
      <c r="W6" s="42" t="s">
        <v>0</v>
      </c>
      <c r="X6" s="42" t="s">
        <v>0</v>
      </c>
      <c r="Y6" s="42" t="s">
        <v>0</v>
      </c>
      <c r="Z6" s="42" t="s">
        <v>0</v>
      </c>
      <c r="AA6" s="42" t="s">
        <v>0</v>
      </c>
      <c r="AB6" s="42" t="s">
        <v>0</v>
      </c>
      <c r="AC6" s="43" t="s">
        <v>0</v>
      </c>
      <c r="AD6" s="22" t="s">
        <v>0</v>
      </c>
      <c r="AE6" s="22" t="s">
        <v>0</v>
      </c>
      <c r="AF6" s="22" t="s">
        <v>0</v>
      </c>
      <c r="AG6" s="22" t="s">
        <v>0</v>
      </c>
      <c r="AH6" s="22" t="s">
        <v>0</v>
      </c>
      <c r="AI6" s="22" t="s">
        <v>0</v>
      </c>
      <c r="AJ6" s="22" t="s">
        <v>0</v>
      </c>
      <c r="AK6" s="22" t="s">
        <v>0</v>
      </c>
    </row>
    <row r="7" spans="1:37">
      <c r="A7" s="41" t="s">
        <v>0</v>
      </c>
      <c r="B7" s="41" t="s">
        <v>0</v>
      </c>
      <c r="C7" s="41" t="s">
        <v>0</v>
      </c>
      <c r="D7" s="41" t="s">
        <v>0</v>
      </c>
      <c r="E7" s="41" t="s">
        <v>0</v>
      </c>
      <c r="F7" s="41" t="s">
        <v>0</v>
      </c>
      <c r="G7" s="41" t="s">
        <v>0</v>
      </c>
      <c r="H7" s="41" t="s">
        <v>0</v>
      </c>
      <c r="I7" s="41" t="s">
        <v>0</v>
      </c>
      <c r="J7" s="41" t="s">
        <v>0</v>
      </c>
      <c r="K7" s="41" t="s">
        <v>0</v>
      </c>
      <c r="L7" s="41" t="s">
        <v>0</v>
      </c>
      <c r="M7" s="41" t="s">
        <v>0</v>
      </c>
      <c r="N7" s="41" t="s">
        <v>0</v>
      </c>
      <c r="O7" s="41" t="s">
        <v>0</v>
      </c>
      <c r="P7" s="42" t="s">
        <v>0</v>
      </c>
      <c r="Q7" s="42" t="s">
        <v>0</v>
      </c>
      <c r="R7" s="42" t="s">
        <v>0</v>
      </c>
      <c r="S7" s="42" t="s">
        <v>0</v>
      </c>
      <c r="T7" s="42" t="s">
        <v>0</v>
      </c>
      <c r="U7" s="42" t="s">
        <v>0</v>
      </c>
      <c r="V7" s="42" t="s">
        <v>0</v>
      </c>
      <c r="W7" s="42" t="s">
        <v>0</v>
      </c>
      <c r="X7" s="42" t="s">
        <v>0</v>
      </c>
      <c r="Y7" s="42" t="s">
        <v>0</v>
      </c>
      <c r="Z7" s="42" t="s">
        <v>0</v>
      </c>
      <c r="AA7" s="42" t="s">
        <v>0</v>
      </c>
      <c r="AB7" s="42" t="s">
        <v>0</v>
      </c>
      <c r="AC7" s="43" t="s">
        <v>0</v>
      </c>
      <c r="AD7" s="22" t="s">
        <v>0</v>
      </c>
      <c r="AE7" s="22" t="s">
        <v>0</v>
      </c>
      <c r="AF7" s="22" t="s">
        <v>0</v>
      </c>
      <c r="AG7" s="22" t="s">
        <v>0</v>
      </c>
      <c r="AH7" s="22" t="s">
        <v>0</v>
      </c>
      <c r="AI7" s="22" t="s">
        <v>0</v>
      </c>
      <c r="AJ7" s="22" t="s">
        <v>0</v>
      </c>
      <c r="AK7" s="22" t="s">
        <v>0</v>
      </c>
    </row>
    <row r="8" spans="1:37">
      <c r="A8" s="41" t="s">
        <v>0</v>
      </c>
      <c r="B8" s="41" t="s">
        <v>0</v>
      </c>
      <c r="C8" s="41" t="s">
        <v>0</v>
      </c>
      <c r="D8" s="41" t="s">
        <v>0</v>
      </c>
      <c r="E8" s="41" t="s">
        <v>0</v>
      </c>
      <c r="F8" s="41" t="s">
        <v>0</v>
      </c>
      <c r="G8" s="41" t="s">
        <v>0</v>
      </c>
      <c r="H8" s="41" t="s">
        <v>0</v>
      </c>
      <c r="I8" s="41" t="s">
        <v>0</v>
      </c>
      <c r="J8" s="41" t="s">
        <v>0</v>
      </c>
      <c r="K8" s="41" t="s">
        <v>0</v>
      </c>
      <c r="L8" s="41" t="s">
        <v>0</v>
      </c>
      <c r="M8" s="41" t="s">
        <v>0</v>
      </c>
      <c r="N8" s="41" t="s">
        <v>0</v>
      </c>
      <c r="O8" s="41" t="s">
        <v>0</v>
      </c>
      <c r="P8" s="42" t="s">
        <v>0</v>
      </c>
      <c r="Q8" s="42" t="s">
        <v>0</v>
      </c>
      <c r="R8" s="42" t="s">
        <v>0</v>
      </c>
      <c r="S8" s="42" t="s">
        <v>0</v>
      </c>
      <c r="T8" s="42" t="s">
        <v>0</v>
      </c>
      <c r="U8" s="42" t="s">
        <v>0</v>
      </c>
      <c r="V8" s="42" t="s">
        <v>0</v>
      </c>
      <c r="W8" s="42" t="s">
        <v>0</v>
      </c>
      <c r="X8" s="42" t="s">
        <v>0</v>
      </c>
      <c r="Y8" s="42" t="s">
        <v>0</v>
      </c>
      <c r="Z8" s="42" t="s">
        <v>0</v>
      </c>
      <c r="AA8" s="42" t="s">
        <v>0</v>
      </c>
      <c r="AB8" s="42" t="s">
        <v>0</v>
      </c>
      <c r="AC8" s="43" t="s">
        <v>0</v>
      </c>
      <c r="AD8" s="22" t="s">
        <v>0</v>
      </c>
      <c r="AE8" s="22" t="s">
        <v>0</v>
      </c>
      <c r="AF8" s="22" t="s">
        <v>0</v>
      </c>
      <c r="AG8" s="22" t="s">
        <v>0</v>
      </c>
      <c r="AH8" s="22" t="s">
        <v>0</v>
      </c>
      <c r="AI8" s="22" t="s">
        <v>0</v>
      </c>
      <c r="AJ8" s="22" t="s">
        <v>0</v>
      </c>
      <c r="AK8" s="22" t="s">
        <v>0</v>
      </c>
    </row>
    <row r="9" spans="1:37">
      <c r="A9" s="41" t="s">
        <v>0</v>
      </c>
      <c r="B9" s="41" t="s">
        <v>0</v>
      </c>
      <c r="C9" s="41" t="s">
        <v>0</v>
      </c>
      <c r="D9" s="41" t="s">
        <v>0</v>
      </c>
      <c r="E9" s="41" t="s">
        <v>0</v>
      </c>
      <c r="F9" s="41" t="s">
        <v>0</v>
      </c>
      <c r="G9" s="41" t="s">
        <v>0</v>
      </c>
      <c r="H9" s="41" t="s">
        <v>0</v>
      </c>
      <c r="I9" s="41" t="s">
        <v>0</v>
      </c>
      <c r="J9" s="41" t="s">
        <v>0</v>
      </c>
      <c r="K9" s="41" t="s">
        <v>0</v>
      </c>
      <c r="L9" s="41" t="s">
        <v>0</v>
      </c>
      <c r="M9" s="41" t="s">
        <v>0</v>
      </c>
      <c r="N9" s="41" t="s">
        <v>0</v>
      </c>
      <c r="O9" s="41" t="s">
        <v>0</v>
      </c>
      <c r="P9" s="42" t="s">
        <v>0</v>
      </c>
      <c r="Q9" s="42" t="s">
        <v>0</v>
      </c>
      <c r="R9" s="42" t="s">
        <v>0</v>
      </c>
      <c r="S9" s="42" t="s">
        <v>0</v>
      </c>
      <c r="T9" s="42" t="s">
        <v>0</v>
      </c>
      <c r="U9" s="42" t="s">
        <v>0</v>
      </c>
      <c r="V9" s="42" t="s">
        <v>0</v>
      </c>
      <c r="W9" s="42" t="s">
        <v>0</v>
      </c>
      <c r="X9" s="42" t="s">
        <v>0</v>
      </c>
      <c r="Y9" s="42" t="s">
        <v>0</v>
      </c>
      <c r="Z9" s="42" t="s">
        <v>0</v>
      </c>
      <c r="AA9" s="42" t="s">
        <v>0</v>
      </c>
      <c r="AB9" s="42" t="s">
        <v>0</v>
      </c>
      <c r="AC9" s="43" t="s">
        <v>0</v>
      </c>
      <c r="AD9" s="22" t="s">
        <v>0</v>
      </c>
      <c r="AE9" s="22" t="s">
        <v>0</v>
      </c>
      <c r="AF9" s="22" t="s">
        <v>0</v>
      </c>
      <c r="AG9" s="22" t="s">
        <v>0</v>
      </c>
      <c r="AH9" s="22" t="s">
        <v>0</v>
      </c>
      <c r="AI9" s="22" t="s">
        <v>0</v>
      </c>
      <c r="AJ9" s="22" t="s">
        <v>0</v>
      </c>
      <c r="AK9" s="22" t="s">
        <v>0</v>
      </c>
    </row>
    <row r="10" spans="1:37">
      <c r="A10" s="41" t="s">
        <v>0</v>
      </c>
      <c r="B10" s="41" t="s">
        <v>0</v>
      </c>
      <c r="C10" s="41" t="s">
        <v>0</v>
      </c>
      <c r="D10" s="41" t="s">
        <v>0</v>
      </c>
      <c r="E10" s="41" t="s">
        <v>0</v>
      </c>
      <c r="F10" s="41" t="s">
        <v>0</v>
      </c>
      <c r="G10" s="41" t="s">
        <v>0</v>
      </c>
      <c r="H10" s="41" t="s">
        <v>0</v>
      </c>
      <c r="I10" s="41" t="s">
        <v>0</v>
      </c>
      <c r="J10" s="41" t="s">
        <v>0</v>
      </c>
      <c r="K10" s="41" t="s">
        <v>0</v>
      </c>
      <c r="L10" s="41" t="s">
        <v>0</v>
      </c>
      <c r="M10" s="41" t="s">
        <v>0</v>
      </c>
      <c r="N10" s="41" t="s">
        <v>0</v>
      </c>
      <c r="O10" s="41" t="s">
        <v>0</v>
      </c>
      <c r="P10" s="42" t="s">
        <v>0</v>
      </c>
      <c r="Q10" s="42" t="s">
        <v>0</v>
      </c>
      <c r="R10" s="42" t="s">
        <v>0</v>
      </c>
      <c r="S10" s="42" t="s">
        <v>0</v>
      </c>
      <c r="T10" s="42" t="s">
        <v>0</v>
      </c>
      <c r="U10" s="42" t="s">
        <v>0</v>
      </c>
      <c r="V10" s="42" t="s">
        <v>0</v>
      </c>
      <c r="W10" s="42" t="s">
        <v>0</v>
      </c>
      <c r="X10" s="42" t="s">
        <v>0</v>
      </c>
      <c r="Y10" s="42" t="s">
        <v>0</v>
      </c>
      <c r="Z10" s="42" t="s">
        <v>0</v>
      </c>
      <c r="AA10" s="42" t="s">
        <v>0</v>
      </c>
      <c r="AB10" s="42" t="s">
        <v>0</v>
      </c>
      <c r="AC10" s="43" t="s">
        <v>0</v>
      </c>
      <c r="AD10" s="22" t="s">
        <v>0</v>
      </c>
      <c r="AE10" s="22" t="s">
        <v>0</v>
      </c>
      <c r="AF10" s="22" t="s">
        <v>0</v>
      </c>
      <c r="AG10" s="22" t="s">
        <v>0</v>
      </c>
      <c r="AH10" s="22" t="s">
        <v>0</v>
      </c>
      <c r="AI10" s="22" t="s">
        <v>0</v>
      </c>
      <c r="AJ10" s="22" t="s">
        <v>0</v>
      </c>
      <c r="AK10" s="22" t="s">
        <v>0</v>
      </c>
    </row>
    <row r="11" spans="1:37">
      <c r="A11" s="41" t="s">
        <v>0</v>
      </c>
      <c r="B11" s="41" t="s">
        <v>0</v>
      </c>
      <c r="C11" s="41" t="s">
        <v>0</v>
      </c>
      <c r="D11" s="41" t="s">
        <v>0</v>
      </c>
      <c r="E11" s="41" t="s">
        <v>0</v>
      </c>
      <c r="F11" s="41" t="s">
        <v>0</v>
      </c>
      <c r="G11" s="41" t="s">
        <v>0</v>
      </c>
      <c r="H11" s="41" t="s">
        <v>0</v>
      </c>
      <c r="I11" s="41" t="s">
        <v>0</v>
      </c>
      <c r="J11" s="41" t="s">
        <v>0</v>
      </c>
      <c r="K11" s="41" t="s">
        <v>0</v>
      </c>
      <c r="L11" s="41" t="s">
        <v>0</v>
      </c>
      <c r="M11" s="41" t="s">
        <v>0</v>
      </c>
      <c r="N11" s="41" t="s">
        <v>0</v>
      </c>
      <c r="O11" s="41" t="s">
        <v>0</v>
      </c>
      <c r="P11" s="42" t="s">
        <v>0</v>
      </c>
      <c r="Q11" s="42" t="s">
        <v>0</v>
      </c>
      <c r="R11" s="42" t="s">
        <v>0</v>
      </c>
      <c r="S11" s="42" t="s">
        <v>0</v>
      </c>
      <c r="T11" s="42" t="s">
        <v>0</v>
      </c>
      <c r="U11" s="42" t="s">
        <v>0</v>
      </c>
      <c r="V11" s="42" t="s">
        <v>0</v>
      </c>
      <c r="W11" s="42" t="s">
        <v>0</v>
      </c>
      <c r="X11" s="42" t="s">
        <v>0</v>
      </c>
      <c r="Y11" s="42" t="s">
        <v>0</v>
      </c>
      <c r="Z11" s="42" t="s">
        <v>0</v>
      </c>
      <c r="AA11" s="42" t="s">
        <v>0</v>
      </c>
      <c r="AB11" s="42" t="s">
        <v>0</v>
      </c>
      <c r="AC11" s="43" t="s">
        <v>0</v>
      </c>
      <c r="AD11" s="22" t="s">
        <v>0</v>
      </c>
      <c r="AE11" s="22" t="s">
        <v>0</v>
      </c>
      <c r="AF11" s="22" t="s">
        <v>0</v>
      </c>
      <c r="AG11" s="22" t="s">
        <v>0</v>
      </c>
      <c r="AH11" s="22" t="s">
        <v>0</v>
      </c>
      <c r="AI11" s="22" t="s">
        <v>0</v>
      </c>
      <c r="AJ11" s="22" t="s">
        <v>0</v>
      </c>
      <c r="AK11" s="22" t="s">
        <v>0</v>
      </c>
    </row>
    <row r="12" spans="1:37">
      <c r="A12" s="41" t="s">
        <v>0</v>
      </c>
      <c r="B12" s="41" t="s">
        <v>0</v>
      </c>
      <c r="C12" s="41" t="s">
        <v>0</v>
      </c>
      <c r="D12" s="41" t="s">
        <v>0</v>
      </c>
      <c r="E12" s="41" t="s">
        <v>0</v>
      </c>
      <c r="F12" s="41" t="s">
        <v>0</v>
      </c>
      <c r="G12" s="41" t="s">
        <v>0</v>
      </c>
      <c r="H12" s="41" t="s">
        <v>0</v>
      </c>
      <c r="I12" s="41" t="s">
        <v>0</v>
      </c>
      <c r="J12" s="41" t="s">
        <v>0</v>
      </c>
      <c r="K12" s="41" t="s">
        <v>0</v>
      </c>
      <c r="L12" s="41" t="s">
        <v>0</v>
      </c>
      <c r="M12" s="41" t="s">
        <v>0</v>
      </c>
      <c r="N12" s="41" t="s">
        <v>0</v>
      </c>
      <c r="O12" s="41" t="s">
        <v>0</v>
      </c>
      <c r="P12" s="42" t="s">
        <v>0</v>
      </c>
      <c r="Q12" s="42" t="s">
        <v>0</v>
      </c>
      <c r="R12" s="42" t="s">
        <v>0</v>
      </c>
      <c r="S12" s="42" t="s">
        <v>0</v>
      </c>
      <c r="T12" s="42" t="s">
        <v>0</v>
      </c>
      <c r="U12" s="42" t="s">
        <v>0</v>
      </c>
      <c r="V12" s="42" t="s">
        <v>0</v>
      </c>
      <c r="W12" s="42" t="s">
        <v>0</v>
      </c>
      <c r="X12" s="42" t="s">
        <v>0</v>
      </c>
      <c r="Y12" s="42" t="s">
        <v>0</v>
      </c>
      <c r="Z12" s="42" t="s">
        <v>0</v>
      </c>
      <c r="AA12" s="42" t="s">
        <v>0</v>
      </c>
      <c r="AB12" s="42" t="s">
        <v>0</v>
      </c>
      <c r="AC12" s="43" t="s">
        <v>0</v>
      </c>
      <c r="AD12" s="22" t="s">
        <v>0</v>
      </c>
      <c r="AE12" s="22" t="s">
        <v>0</v>
      </c>
      <c r="AF12" s="22" t="s">
        <v>0</v>
      </c>
      <c r="AG12" s="22" t="s">
        <v>0</v>
      </c>
      <c r="AH12" s="22" t="s">
        <v>0</v>
      </c>
      <c r="AI12" s="22" t="s">
        <v>0</v>
      </c>
      <c r="AJ12" s="22" t="s">
        <v>0</v>
      </c>
      <c r="AK12" s="22" t="s">
        <v>0</v>
      </c>
    </row>
    <row r="13" spans="1:37">
      <c r="A13" s="41" t="s">
        <v>0</v>
      </c>
      <c r="B13" s="41" t="s">
        <v>0</v>
      </c>
      <c r="C13" s="41" t="s">
        <v>0</v>
      </c>
      <c r="D13" s="41" t="s">
        <v>0</v>
      </c>
      <c r="E13" s="41" t="s">
        <v>0</v>
      </c>
      <c r="F13" s="41" t="s">
        <v>0</v>
      </c>
      <c r="G13" s="41" t="s">
        <v>0</v>
      </c>
      <c r="H13" s="41" t="s">
        <v>0</v>
      </c>
      <c r="I13" s="41" t="s">
        <v>0</v>
      </c>
      <c r="J13" s="41" t="s">
        <v>0</v>
      </c>
      <c r="K13" s="41" t="s">
        <v>0</v>
      </c>
      <c r="L13" s="41" t="s">
        <v>0</v>
      </c>
      <c r="M13" s="41" t="s">
        <v>0</v>
      </c>
      <c r="N13" s="41" t="s">
        <v>0</v>
      </c>
      <c r="O13" s="41" t="s">
        <v>0</v>
      </c>
      <c r="P13" s="42" t="s">
        <v>0</v>
      </c>
      <c r="Q13" s="42" t="s">
        <v>0</v>
      </c>
      <c r="R13" s="42" t="s">
        <v>0</v>
      </c>
      <c r="S13" s="42" t="s">
        <v>0</v>
      </c>
      <c r="T13" s="42" t="s">
        <v>0</v>
      </c>
      <c r="U13" s="42" t="s">
        <v>0</v>
      </c>
      <c r="V13" s="42" t="s">
        <v>0</v>
      </c>
      <c r="W13" s="42" t="s">
        <v>0</v>
      </c>
      <c r="X13" s="42" t="s">
        <v>0</v>
      </c>
      <c r="Y13" s="42" t="s">
        <v>0</v>
      </c>
      <c r="Z13" s="42" t="s">
        <v>0</v>
      </c>
      <c r="AA13" s="42" t="s">
        <v>0</v>
      </c>
      <c r="AB13" s="42" t="s">
        <v>0</v>
      </c>
      <c r="AC13" s="43" t="s">
        <v>0</v>
      </c>
      <c r="AD13" s="22" t="s">
        <v>0</v>
      </c>
      <c r="AE13" s="22" t="s">
        <v>0</v>
      </c>
      <c r="AF13" s="22" t="s">
        <v>0</v>
      </c>
      <c r="AG13" s="22" t="s">
        <v>0</v>
      </c>
      <c r="AH13" s="22" t="s">
        <v>0</v>
      </c>
      <c r="AI13" s="22" t="s">
        <v>0</v>
      </c>
      <c r="AJ13" s="22" t="s">
        <v>0</v>
      </c>
      <c r="AK13" s="22" t="s">
        <v>0</v>
      </c>
    </row>
    <row r="14" spans="1:37">
      <c r="A14" s="41" t="s">
        <v>0</v>
      </c>
      <c r="B14" s="41" t="s">
        <v>0</v>
      </c>
      <c r="C14" s="41" t="s">
        <v>0</v>
      </c>
      <c r="D14" s="41" t="s">
        <v>0</v>
      </c>
      <c r="E14" s="41" t="s">
        <v>0</v>
      </c>
      <c r="F14" s="41" t="s">
        <v>0</v>
      </c>
      <c r="G14" s="41" t="s">
        <v>0</v>
      </c>
      <c r="H14" s="41" t="s">
        <v>0</v>
      </c>
      <c r="I14" s="41" t="s">
        <v>0</v>
      </c>
      <c r="J14" s="41" t="s">
        <v>0</v>
      </c>
      <c r="K14" s="41" t="s">
        <v>0</v>
      </c>
      <c r="L14" s="41" t="s">
        <v>0</v>
      </c>
      <c r="M14" s="41" t="s">
        <v>0</v>
      </c>
      <c r="N14" s="41" t="s">
        <v>0</v>
      </c>
      <c r="O14" s="41" t="s">
        <v>0</v>
      </c>
      <c r="P14" s="42" t="s">
        <v>0</v>
      </c>
      <c r="Q14" s="42" t="s">
        <v>0</v>
      </c>
      <c r="R14" s="42" t="s">
        <v>0</v>
      </c>
      <c r="S14" s="42" t="s">
        <v>0</v>
      </c>
      <c r="T14" s="42" t="s">
        <v>0</v>
      </c>
      <c r="U14" s="42" t="s">
        <v>0</v>
      </c>
      <c r="V14" s="42" t="s">
        <v>0</v>
      </c>
      <c r="W14" s="42" t="s">
        <v>0</v>
      </c>
      <c r="X14" s="42" t="s">
        <v>0</v>
      </c>
      <c r="Y14" s="42" t="s">
        <v>0</v>
      </c>
      <c r="Z14" s="42" t="s">
        <v>0</v>
      </c>
      <c r="AA14" s="42" t="s">
        <v>0</v>
      </c>
      <c r="AB14" s="42" t="s">
        <v>0</v>
      </c>
      <c r="AC14" s="43" t="s">
        <v>0</v>
      </c>
      <c r="AD14" s="22" t="s">
        <v>0</v>
      </c>
      <c r="AE14" s="22" t="s">
        <v>0</v>
      </c>
      <c r="AF14" s="22" t="s">
        <v>0</v>
      </c>
      <c r="AG14" s="22" t="s">
        <v>0</v>
      </c>
      <c r="AH14" s="22" t="s">
        <v>0</v>
      </c>
      <c r="AI14" s="22" t="s">
        <v>0</v>
      </c>
      <c r="AJ14" s="22" t="s">
        <v>0</v>
      </c>
      <c r="AK14" s="22" t="s">
        <v>0</v>
      </c>
    </row>
    <row r="15" spans="1:37">
      <c r="A15" s="41" t="s">
        <v>0</v>
      </c>
      <c r="B15" s="41" t="s">
        <v>0</v>
      </c>
      <c r="C15" s="41" t="s">
        <v>0</v>
      </c>
      <c r="D15" s="41" t="s">
        <v>0</v>
      </c>
      <c r="E15" s="41" t="s">
        <v>0</v>
      </c>
      <c r="F15" s="41" t="s">
        <v>0</v>
      </c>
      <c r="G15" s="41" t="s">
        <v>0</v>
      </c>
      <c r="H15" s="41" t="s">
        <v>0</v>
      </c>
      <c r="I15" s="41" t="s">
        <v>0</v>
      </c>
      <c r="J15" s="41" t="s">
        <v>0</v>
      </c>
      <c r="K15" s="41" t="s">
        <v>0</v>
      </c>
      <c r="L15" s="41" t="s">
        <v>0</v>
      </c>
      <c r="M15" s="41" t="s">
        <v>0</v>
      </c>
      <c r="N15" s="41" t="s">
        <v>0</v>
      </c>
      <c r="O15" s="41" t="s">
        <v>0</v>
      </c>
      <c r="P15" s="42" t="s">
        <v>0</v>
      </c>
      <c r="Q15" s="42" t="s">
        <v>0</v>
      </c>
      <c r="R15" s="42" t="s">
        <v>0</v>
      </c>
      <c r="S15" s="42" t="s">
        <v>0</v>
      </c>
      <c r="T15" s="42" t="s">
        <v>0</v>
      </c>
      <c r="U15" s="42" t="s">
        <v>0</v>
      </c>
      <c r="V15" s="42" t="s">
        <v>0</v>
      </c>
      <c r="W15" s="42" t="s">
        <v>0</v>
      </c>
      <c r="X15" s="42" t="s">
        <v>0</v>
      </c>
      <c r="Y15" s="42" t="s">
        <v>0</v>
      </c>
      <c r="Z15" s="42" t="s">
        <v>0</v>
      </c>
      <c r="AA15" s="42" t="s">
        <v>0</v>
      </c>
      <c r="AB15" s="42" t="s">
        <v>0</v>
      </c>
      <c r="AC15" s="43" t="s">
        <v>0</v>
      </c>
      <c r="AD15" s="22" t="s">
        <v>0</v>
      </c>
      <c r="AE15" s="22" t="s">
        <v>0</v>
      </c>
      <c r="AF15" s="22" t="s">
        <v>0</v>
      </c>
      <c r="AG15" s="22" t="s">
        <v>0</v>
      </c>
      <c r="AH15" s="22" t="s">
        <v>0</v>
      </c>
      <c r="AI15" s="22" t="s">
        <v>0</v>
      </c>
      <c r="AJ15" s="22" t="s">
        <v>0</v>
      </c>
      <c r="AK15" s="22" t="s">
        <v>0</v>
      </c>
    </row>
    <row r="16" spans="1:37">
      <c r="A16" s="41" t="s">
        <v>0</v>
      </c>
      <c r="B16" s="41" t="s">
        <v>0</v>
      </c>
      <c r="C16" s="41" t="s">
        <v>0</v>
      </c>
      <c r="D16" s="41" t="s">
        <v>0</v>
      </c>
      <c r="E16" s="41" t="s">
        <v>0</v>
      </c>
      <c r="F16" s="41" t="s">
        <v>0</v>
      </c>
      <c r="G16" s="41" t="s">
        <v>0</v>
      </c>
      <c r="H16" s="41" t="s">
        <v>0</v>
      </c>
      <c r="I16" s="41" t="s">
        <v>0</v>
      </c>
      <c r="J16" s="41" t="s">
        <v>0</v>
      </c>
      <c r="K16" s="41" t="s">
        <v>0</v>
      </c>
      <c r="L16" s="41" t="s">
        <v>0</v>
      </c>
      <c r="M16" s="41" t="s">
        <v>0</v>
      </c>
      <c r="N16" s="41" t="s">
        <v>0</v>
      </c>
      <c r="O16" s="41" t="s">
        <v>0</v>
      </c>
      <c r="P16" s="42" t="s">
        <v>0</v>
      </c>
      <c r="Q16" s="42" t="s">
        <v>0</v>
      </c>
      <c r="R16" s="42" t="s">
        <v>0</v>
      </c>
      <c r="S16" s="42" t="s">
        <v>0</v>
      </c>
      <c r="T16" s="42" t="s">
        <v>0</v>
      </c>
      <c r="U16" s="42" t="s">
        <v>0</v>
      </c>
      <c r="V16" s="42" t="s">
        <v>0</v>
      </c>
      <c r="W16" s="42" t="s">
        <v>0</v>
      </c>
      <c r="X16" s="42" t="s">
        <v>0</v>
      </c>
      <c r="Y16" s="42" t="s">
        <v>0</v>
      </c>
      <c r="Z16" s="42" t="s">
        <v>0</v>
      </c>
      <c r="AA16" s="42" t="s">
        <v>0</v>
      </c>
      <c r="AB16" s="42" t="s">
        <v>0</v>
      </c>
      <c r="AC16" s="43" t="s">
        <v>0</v>
      </c>
      <c r="AD16" s="22" t="s">
        <v>0</v>
      </c>
      <c r="AE16" s="22" t="s">
        <v>0</v>
      </c>
      <c r="AF16" s="22" t="s">
        <v>0</v>
      </c>
      <c r="AG16" s="22" t="s">
        <v>0</v>
      </c>
      <c r="AH16" s="22" t="s">
        <v>0</v>
      </c>
      <c r="AI16" s="22" t="s">
        <v>0</v>
      </c>
      <c r="AJ16" s="22" t="s">
        <v>0</v>
      </c>
      <c r="AK16" s="22" t="s">
        <v>0</v>
      </c>
    </row>
    <row r="17" spans="1:37">
      <c r="A17" s="41" t="s">
        <v>0</v>
      </c>
      <c r="B17" s="41" t="s">
        <v>0</v>
      </c>
      <c r="C17" s="41" t="s">
        <v>0</v>
      </c>
      <c r="D17" s="41" t="s">
        <v>0</v>
      </c>
      <c r="E17" s="41" t="s">
        <v>0</v>
      </c>
      <c r="F17" s="41" t="s">
        <v>0</v>
      </c>
      <c r="G17" s="41" t="s">
        <v>0</v>
      </c>
      <c r="H17" s="41" t="s">
        <v>0</v>
      </c>
      <c r="I17" s="41" t="s">
        <v>0</v>
      </c>
      <c r="J17" s="41" t="s">
        <v>0</v>
      </c>
      <c r="K17" s="41" t="s">
        <v>0</v>
      </c>
      <c r="L17" s="41" t="s">
        <v>0</v>
      </c>
      <c r="M17" s="41" t="s">
        <v>0</v>
      </c>
      <c r="N17" s="41" t="s">
        <v>0</v>
      </c>
      <c r="O17" s="41" t="s">
        <v>0</v>
      </c>
      <c r="P17" s="42" t="s">
        <v>0</v>
      </c>
      <c r="Q17" s="42" t="s">
        <v>0</v>
      </c>
      <c r="R17" s="42" t="s">
        <v>0</v>
      </c>
      <c r="S17" s="42" t="s">
        <v>0</v>
      </c>
      <c r="T17" s="42" t="s">
        <v>0</v>
      </c>
      <c r="U17" s="42" t="s">
        <v>0</v>
      </c>
      <c r="V17" s="42" t="s">
        <v>0</v>
      </c>
      <c r="W17" s="42" t="s">
        <v>0</v>
      </c>
      <c r="X17" s="42" t="s">
        <v>0</v>
      </c>
      <c r="Y17" s="42" t="s">
        <v>0</v>
      </c>
      <c r="Z17" s="42" t="s">
        <v>0</v>
      </c>
      <c r="AA17" s="42" t="s">
        <v>0</v>
      </c>
      <c r="AB17" s="42" t="s">
        <v>0</v>
      </c>
      <c r="AC17" s="43" t="s">
        <v>0</v>
      </c>
      <c r="AD17" s="22" t="s">
        <v>0</v>
      </c>
      <c r="AE17" s="22" t="s">
        <v>0</v>
      </c>
      <c r="AF17" s="22" t="s">
        <v>0</v>
      </c>
      <c r="AG17" s="22" t="s">
        <v>0</v>
      </c>
      <c r="AH17" s="22" t="s">
        <v>0</v>
      </c>
      <c r="AI17" s="22" t="s">
        <v>0</v>
      </c>
      <c r="AJ17" s="22" t="s">
        <v>0</v>
      </c>
      <c r="AK17" s="22" t="s">
        <v>0</v>
      </c>
    </row>
    <row r="18" spans="1:37">
      <c r="A18" s="41" t="s">
        <v>0</v>
      </c>
      <c r="B18" s="41" t="s">
        <v>0</v>
      </c>
      <c r="C18" s="41" t="s">
        <v>0</v>
      </c>
      <c r="D18" s="41" t="s">
        <v>0</v>
      </c>
      <c r="E18" s="41" t="s">
        <v>0</v>
      </c>
      <c r="F18" s="41" t="s">
        <v>0</v>
      </c>
      <c r="G18" s="41" t="s">
        <v>0</v>
      </c>
      <c r="H18" s="41" t="s">
        <v>0</v>
      </c>
      <c r="I18" s="41" t="s">
        <v>0</v>
      </c>
      <c r="J18" s="41" t="s">
        <v>0</v>
      </c>
      <c r="K18" s="41" t="s">
        <v>0</v>
      </c>
      <c r="L18" s="41" t="s">
        <v>0</v>
      </c>
      <c r="M18" s="41" t="s">
        <v>0</v>
      </c>
      <c r="N18" s="41" t="s">
        <v>0</v>
      </c>
      <c r="O18" s="41" t="s">
        <v>0</v>
      </c>
      <c r="P18" s="42" t="s">
        <v>0</v>
      </c>
      <c r="Q18" s="42" t="s">
        <v>0</v>
      </c>
      <c r="R18" s="42" t="s">
        <v>0</v>
      </c>
      <c r="S18" s="42" t="s">
        <v>0</v>
      </c>
      <c r="T18" s="42" t="s">
        <v>0</v>
      </c>
      <c r="U18" s="42" t="s">
        <v>0</v>
      </c>
      <c r="V18" s="42" t="s">
        <v>0</v>
      </c>
      <c r="W18" s="42" t="s">
        <v>0</v>
      </c>
      <c r="X18" s="42" t="s">
        <v>0</v>
      </c>
      <c r="Y18" s="42" t="s">
        <v>0</v>
      </c>
      <c r="Z18" s="42" t="s">
        <v>0</v>
      </c>
      <c r="AA18" s="42" t="s">
        <v>0</v>
      </c>
      <c r="AB18" s="42" t="s">
        <v>0</v>
      </c>
      <c r="AC18" s="43" t="s">
        <v>0</v>
      </c>
      <c r="AD18" s="22" t="s">
        <v>0</v>
      </c>
      <c r="AE18" s="22" t="s">
        <v>0</v>
      </c>
      <c r="AF18" s="22" t="s">
        <v>0</v>
      </c>
      <c r="AG18" s="22" t="s">
        <v>0</v>
      </c>
      <c r="AH18" s="22" t="s">
        <v>0</v>
      </c>
      <c r="AI18" s="22" t="s">
        <v>0</v>
      </c>
      <c r="AJ18" s="22" t="s">
        <v>0</v>
      </c>
      <c r="AK18" s="22" t="s">
        <v>0</v>
      </c>
    </row>
    <row r="19" spans="1:37">
      <c r="A19" s="41" t="s">
        <v>0</v>
      </c>
      <c r="B19" s="41" t="s">
        <v>0</v>
      </c>
      <c r="C19" s="41" t="s">
        <v>0</v>
      </c>
      <c r="D19" s="41" t="s">
        <v>0</v>
      </c>
      <c r="E19" s="41" t="s">
        <v>0</v>
      </c>
      <c r="F19" s="41" t="s">
        <v>0</v>
      </c>
      <c r="G19" s="41" t="s">
        <v>0</v>
      </c>
      <c r="H19" s="41" t="s">
        <v>0</v>
      </c>
      <c r="I19" s="41" t="s">
        <v>0</v>
      </c>
      <c r="J19" s="41" t="s">
        <v>0</v>
      </c>
      <c r="K19" s="41" t="s">
        <v>0</v>
      </c>
      <c r="L19" s="41" t="s">
        <v>0</v>
      </c>
      <c r="M19" s="41" t="s">
        <v>0</v>
      </c>
      <c r="N19" s="41" t="s">
        <v>0</v>
      </c>
      <c r="O19" s="41" t="s">
        <v>0</v>
      </c>
      <c r="P19" s="42" t="s">
        <v>0</v>
      </c>
      <c r="Q19" s="42" t="s">
        <v>0</v>
      </c>
      <c r="R19" s="42" t="s">
        <v>0</v>
      </c>
      <c r="S19" s="42" t="s">
        <v>0</v>
      </c>
      <c r="T19" s="42" t="s">
        <v>0</v>
      </c>
      <c r="U19" s="42" t="s">
        <v>0</v>
      </c>
      <c r="V19" s="42" t="s">
        <v>0</v>
      </c>
      <c r="W19" s="42" t="s">
        <v>0</v>
      </c>
      <c r="X19" s="42" t="s">
        <v>0</v>
      </c>
      <c r="Y19" s="42" t="s">
        <v>0</v>
      </c>
      <c r="Z19" s="42" t="s">
        <v>0</v>
      </c>
      <c r="AA19" s="42" t="s">
        <v>0</v>
      </c>
      <c r="AB19" s="42" t="s">
        <v>0</v>
      </c>
      <c r="AC19" s="43" t="s">
        <v>0</v>
      </c>
      <c r="AD19" s="22" t="s">
        <v>0</v>
      </c>
      <c r="AE19" s="22" t="s">
        <v>0</v>
      </c>
      <c r="AF19" s="22" t="s">
        <v>0</v>
      </c>
      <c r="AG19" s="22" t="s">
        <v>0</v>
      </c>
      <c r="AH19" s="22" t="s">
        <v>0</v>
      </c>
      <c r="AI19" s="22" t="s">
        <v>0</v>
      </c>
      <c r="AJ19" s="22" t="s">
        <v>0</v>
      </c>
      <c r="AK19" s="22" t="s">
        <v>0</v>
      </c>
    </row>
    <row r="20" spans="1:37">
      <c r="A20" s="41" t="s">
        <v>0</v>
      </c>
      <c r="B20" s="41" t="s">
        <v>0</v>
      </c>
      <c r="C20" s="41" t="s">
        <v>0</v>
      </c>
      <c r="D20" s="41" t="s">
        <v>0</v>
      </c>
      <c r="E20" s="41" t="s">
        <v>0</v>
      </c>
      <c r="F20" s="41" t="s">
        <v>0</v>
      </c>
      <c r="G20" s="41" t="s">
        <v>0</v>
      </c>
      <c r="H20" s="41" t="s">
        <v>0</v>
      </c>
      <c r="I20" s="41" t="s">
        <v>0</v>
      </c>
      <c r="J20" s="41" t="s">
        <v>0</v>
      </c>
      <c r="K20" s="41" t="s">
        <v>0</v>
      </c>
      <c r="L20" s="41" t="s">
        <v>0</v>
      </c>
      <c r="M20" s="41" t="s">
        <v>0</v>
      </c>
      <c r="N20" s="41" t="s">
        <v>0</v>
      </c>
      <c r="O20" s="41" t="s">
        <v>0</v>
      </c>
      <c r="P20" s="42" t="s">
        <v>0</v>
      </c>
      <c r="Q20" s="42" t="s">
        <v>0</v>
      </c>
      <c r="R20" s="42" t="s">
        <v>0</v>
      </c>
      <c r="S20" s="42" t="s">
        <v>0</v>
      </c>
      <c r="T20" s="42" t="s">
        <v>0</v>
      </c>
      <c r="U20" s="42" t="s">
        <v>0</v>
      </c>
      <c r="V20" s="42" t="s">
        <v>0</v>
      </c>
      <c r="W20" s="42" t="s">
        <v>0</v>
      </c>
      <c r="X20" s="42" t="s">
        <v>0</v>
      </c>
      <c r="Y20" s="42" t="s">
        <v>0</v>
      </c>
      <c r="Z20" s="42" t="s">
        <v>0</v>
      </c>
      <c r="AA20" s="42" t="s">
        <v>0</v>
      </c>
      <c r="AB20" s="42" t="s">
        <v>0</v>
      </c>
      <c r="AC20" s="43" t="s">
        <v>0</v>
      </c>
      <c r="AD20" s="22" t="s">
        <v>0</v>
      </c>
      <c r="AE20" s="22" t="s">
        <v>0</v>
      </c>
      <c r="AF20" s="22" t="s">
        <v>0</v>
      </c>
      <c r="AG20" s="22" t="s">
        <v>0</v>
      </c>
      <c r="AH20" s="22" t="s">
        <v>0</v>
      </c>
      <c r="AI20" s="22" t="s">
        <v>0</v>
      </c>
      <c r="AJ20" s="22" t="s">
        <v>0</v>
      </c>
      <c r="AK20" s="22" t="s">
        <v>0</v>
      </c>
    </row>
    <row r="21" spans="1:37">
      <c r="A21" s="41" t="s">
        <v>0</v>
      </c>
      <c r="B21" s="41" t="s">
        <v>0</v>
      </c>
      <c r="C21" s="41" t="s">
        <v>0</v>
      </c>
      <c r="D21" s="41" t="s">
        <v>0</v>
      </c>
      <c r="E21" s="41" t="s">
        <v>0</v>
      </c>
      <c r="F21" s="41" t="s">
        <v>0</v>
      </c>
      <c r="G21" s="41" t="s">
        <v>0</v>
      </c>
      <c r="H21" s="41" t="s">
        <v>0</v>
      </c>
      <c r="I21" s="41" t="s">
        <v>0</v>
      </c>
      <c r="J21" s="41" t="s">
        <v>0</v>
      </c>
      <c r="K21" s="41" t="s">
        <v>0</v>
      </c>
      <c r="L21" s="41" t="s">
        <v>0</v>
      </c>
      <c r="M21" s="41" t="s">
        <v>0</v>
      </c>
      <c r="N21" s="41" t="s">
        <v>0</v>
      </c>
      <c r="O21" s="41" t="s">
        <v>0</v>
      </c>
      <c r="P21" s="42" t="s">
        <v>0</v>
      </c>
      <c r="Q21" s="42" t="s">
        <v>0</v>
      </c>
      <c r="R21" s="42" t="s">
        <v>0</v>
      </c>
      <c r="S21" s="42" t="s">
        <v>0</v>
      </c>
      <c r="T21" s="42" t="s">
        <v>0</v>
      </c>
      <c r="U21" s="42" t="s">
        <v>0</v>
      </c>
      <c r="V21" s="42" t="s">
        <v>0</v>
      </c>
      <c r="W21" s="42" t="s">
        <v>0</v>
      </c>
      <c r="X21" s="42" t="s">
        <v>0</v>
      </c>
      <c r="Y21" s="42" t="s">
        <v>0</v>
      </c>
      <c r="Z21" s="42" t="s">
        <v>0</v>
      </c>
      <c r="AA21" s="42" t="s">
        <v>0</v>
      </c>
      <c r="AB21" s="42" t="s">
        <v>0</v>
      </c>
      <c r="AC21" s="43" t="s">
        <v>0</v>
      </c>
      <c r="AD21" s="22" t="s">
        <v>0</v>
      </c>
      <c r="AE21" s="22" t="s">
        <v>0</v>
      </c>
      <c r="AF21" s="22" t="s">
        <v>0</v>
      </c>
      <c r="AG21" s="22" t="s">
        <v>0</v>
      </c>
      <c r="AH21" s="22" t="s">
        <v>0</v>
      </c>
      <c r="AI21" s="22" t="s">
        <v>0</v>
      </c>
      <c r="AJ21" s="22" t="s">
        <v>0</v>
      </c>
      <c r="AK21" s="22" t="s">
        <v>0</v>
      </c>
    </row>
    <row r="22" spans="1:37">
      <c r="A22" s="47" t="s">
        <v>0</v>
      </c>
      <c r="B22" s="22" t="s">
        <v>0</v>
      </c>
      <c r="C22" s="22" t="s">
        <v>0</v>
      </c>
      <c r="D22" s="22" t="s">
        <v>78</v>
      </c>
      <c r="E22" s="35"/>
      <c r="F22" s="35"/>
      <c r="G22" s="35"/>
      <c r="H22" s="35"/>
      <c r="I22" s="35"/>
      <c r="J22" s="35"/>
      <c r="K22" s="44"/>
      <c r="L22" s="41" t="s">
        <v>0</v>
      </c>
      <c r="M22" s="41" t="s">
        <v>0</v>
      </c>
      <c r="N22" s="41" t="s">
        <v>0</v>
      </c>
      <c r="O22" s="41" t="s">
        <v>0</v>
      </c>
      <c r="P22" s="42" t="s">
        <v>0</v>
      </c>
      <c r="Q22" s="42" t="s">
        <v>0</v>
      </c>
      <c r="R22" s="42" t="s">
        <v>0</v>
      </c>
      <c r="S22" s="42" t="s">
        <v>0</v>
      </c>
      <c r="T22" s="42" t="s">
        <v>0</v>
      </c>
      <c r="U22" s="42" t="s">
        <v>0</v>
      </c>
      <c r="V22" s="42" t="s">
        <v>0</v>
      </c>
      <c r="W22" s="42" t="s">
        <v>0</v>
      </c>
      <c r="X22" s="42" t="s">
        <v>0</v>
      </c>
      <c r="Y22" s="42" t="s">
        <v>0</v>
      </c>
      <c r="Z22" s="42" t="s">
        <v>0</v>
      </c>
      <c r="AA22" s="42" t="s">
        <v>0</v>
      </c>
      <c r="AB22" s="42" t="s">
        <v>0</v>
      </c>
      <c r="AC22" s="43" t="s">
        <v>0</v>
      </c>
      <c r="AD22" s="22" t="s">
        <v>0</v>
      </c>
      <c r="AE22" s="22" t="s">
        <v>0</v>
      </c>
      <c r="AF22" s="22" t="s">
        <v>0</v>
      </c>
      <c r="AG22" s="22" t="s">
        <v>0</v>
      </c>
      <c r="AH22" s="22" t="s">
        <v>0</v>
      </c>
      <c r="AI22" s="22" t="s">
        <v>0</v>
      </c>
      <c r="AJ22" s="22" t="s">
        <v>0</v>
      </c>
      <c r="AK22" s="22" t="s">
        <v>0</v>
      </c>
    </row>
    <row r="23" spans="1:37">
      <c r="A23" s="47" t="s">
        <v>32</v>
      </c>
      <c r="B23" s="22" t="s">
        <v>0</v>
      </c>
      <c r="C23" s="22" t="s">
        <v>0</v>
      </c>
      <c r="D23" s="22" t="s">
        <v>79</v>
      </c>
      <c r="E23" s="22" t="s">
        <v>80</v>
      </c>
      <c r="F23" s="22" t="s">
        <v>81</v>
      </c>
      <c r="G23" s="22" t="s">
        <v>79</v>
      </c>
      <c r="H23" s="22" t="s">
        <v>80</v>
      </c>
      <c r="I23" s="22" t="s">
        <v>81</v>
      </c>
      <c r="J23" s="22" t="s">
        <v>83</v>
      </c>
      <c r="K23" s="22" t="s">
        <v>80</v>
      </c>
      <c r="L23" s="41" t="s">
        <v>0</v>
      </c>
      <c r="M23" s="41" t="s">
        <v>0</v>
      </c>
      <c r="N23" s="41" t="s">
        <v>0</v>
      </c>
      <c r="O23" s="41" t="s">
        <v>0</v>
      </c>
      <c r="P23" s="42" t="s">
        <v>0</v>
      </c>
      <c r="Q23" s="42" t="s">
        <v>0</v>
      </c>
      <c r="R23" s="42" t="s">
        <v>0</v>
      </c>
      <c r="S23" s="42" t="s">
        <v>0</v>
      </c>
      <c r="T23" s="42" t="s">
        <v>0</v>
      </c>
      <c r="U23" s="42" t="s">
        <v>0</v>
      </c>
      <c r="V23" s="42" t="s">
        <v>0</v>
      </c>
      <c r="W23" s="42" t="s">
        <v>0</v>
      </c>
      <c r="X23" s="42" t="s">
        <v>0</v>
      </c>
      <c r="Y23" s="42" t="s">
        <v>0</v>
      </c>
      <c r="Z23" s="42" t="s">
        <v>0</v>
      </c>
      <c r="AA23" s="42" t="s">
        <v>0</v>
      </c>
      <c r="AB23" s="42" t="s">
        <v>0</v>
      </c>
      <c r="AC23" s="43" t="s">
        <v>0</v>
      </c>
      <c r="AD23" s="22" t="s">
        <v>0</v>
      </c>
      <c r="AE23" s="22" t="s">
        <v>0</v>
      </c>
      <c r="AF23" s="22" t="s">
        <v>0</v>
      </c>
      <c r="AG23" s="22" t="s">
        <v>0</v>
      </c>
      <c r="AH23" s="22" t="s">
        <v>0</v>
      </c>
      <c r="AI23" s="22" t="s">
        <v>0</v>
      </c>
      <c r="AJ23" s="22" t="s">
        <v>0</v>
      </c>
      <c r="AK23" s="22" t="s">
        <v>0</v>
      </c>
    </row>
    <row r="24" spans="1:37">
      <c r="A24" s="27"/>
      <c r="B24" s="22" t="s">
        <v>0</v>
      </c>
      <c r="C24" s="30" t="s">
        <v>0</v>
      </c>
      <c r="D24" s="30" t="s">
        <v>84</v>
      </c>
      <c r="E24" s="30" t="s">
        <v>85</v>
      </c>
      <c r="F24" s="30" t="s">
        <v>86</v>
      </c>
      <c r="G24" s="30" t="s">
        <v>87</v>
      </c>
      <c r="H24" s="30" t="s">
        <v>88</v>
      </c>
      <c r="I24" s="30" t="s">
        <v>89</v>
      </c>
      <c r="J24" s="30" t="s">
        <v>91</v>
      </c>
      <c r="K24" s="30" t="s">
        <v>92</v>
      </c>
      <c r="L24" s="41" t="s">
        <v>0</v>
      </c>
      <c r="M24" s="41" t="s">
        <v>0</v>
      </c>
      <c r="N24" s="41" t="s">
        <v>0</v>
      </c>
      <c r="O24" s="41" t="s">
        <v>0</v>
      </c>
      <c r="P24" s="42" t="s">
        <v>0</v>
      </c>
      <c r="Q24" s="42" t="s">
        <v>0</v>
      </c>
      <c r="R24" s="42" t="s">
        <v>0</v>
      </c>
      <c r="S24" s="42" t="s">
        <v>0</v>
      </c>
      <c r="T24" s="42" t="s">
        <v>0</v>
      </c>
      <c r="U24" s="42" t="s">
        <v>0</v>
      </c>
      <c r="V24" s="42" t="s">
        <v>0</v>
      </c>
      <c r="W24" s="42" t="s">
        <v>0</v>
      </c>
      <c r="X24" s="42" t="s">
        <v>0</v>
      </c>
      <c r="Y24" s="42" t="s">
        <v>0</v>
      </c>
      <c r="Z24" s="42" t="s">
        <v>0</v>
      </c>
      <c r="AA24" s="42" t="s">
        <v>0</v>
      </c>
      <c r="AB24" s="42" t="s">
        <v>0</v>
      </c>
      <c r="AC24" s="43" t="s">
        <v>0</v>
      </c>
      <c r="AD24" s="22" t="s">
        <v>0</v>
      </c>
      <c r="AE24" s="22" t="s">
        <v>0</v>
      </c>
      <c r="AF24" s="22" t="s">
        <v>0</v>
      </c>
      <c r="AG24" s="22" t="s">
        <v>0</v>
      </c>
      <c r="AH24" s="22" t="s">
        <v>0</v>
      </c>
      <c r="AI24" s="22" t="s">
        <v>0</v>
      </c>
      <c r="AJ24" s="22" t="s">
        <v>0</v>
      </c>
      <c r="AK24" s="22" t="s">
        <v>0</v>
      </c>
    </row>
    <row r="25" spans="1:37">
      <c r="A25" s="27"/>
      <c r="B25" s="22" t="s">
        <v>33</v>
      </c>
      <c r="C25" s="22" t="s">
        <v>34</v>
      </c>
      <c r="D25" s="23">
        <v>0.453405</v>
      </c>
      <c r="E25" s="23" t="s">
        <v>6</v>
      </c>
      <c r="F25" s="23">
        <v>1.067337</v>
      </c>
      <c r="G25" s="23">
        <v>0.006165</v>
      </c>
      <c r="H25" s="23" t="s">
        <v>6</v>
      </c>
      <c r="I25" s="23">
        <v>0.321738</v>
      </c>
      <c r="J25" s="23" t="s">
        <v>6</v>
      </c>
      <c r="K25" s="23">
        <v>1.004882</v>
      </c>
      <c r="L25" s="41" t="s">
        <v>0</v>
      </c>
      <c r="M25" s="41" t="s">
        <v>0</v>
      </c>
      <c r="N25" s="41" t="s">
        <v>0</v>
      </c>
      <c r="O25" s="41" t="s">
        <v>0</v>
      </c>
      <c r="P25" s="42" t="s">
        <v>0</v>
      </c>
      <c r="Q25" s="42" t="s">
        <v>0</v>
      </c>
      <c r="R25" s="42" t="s">
        <v>0</v>
      </c>
      <c r="S25" s="42" t="s">
        <v>0</v>
      </c>
      <c r="T25" s="42" t="s">
        <v>0</v>
      </c>
      <c r="U25" s="42" t="s">
        <v>0</v>
      </c>
      <c r="V25" s="42" t="s">
        <v>0</v>
      </c>
      <c r="W25" s="42" t="s">
        <v>0</v>
      </c>
      <c r="X25" s="42" t="s">
        <v>0</v>
      </c>
      <c r="Y25" s="42" t="s">
        <v>0</v>
      </c>
      <c r="Z25" s="42" t="s">
        <v>0</v>
      </c>
      <c r="AA25" s="42" t="s">
        <v>0</v>
      </c>
      <c r="AB25" s="42" t="s">
        <v>0</v>
      </c>
      <c r="AC25" s="43" t="s">
        <v>0</v>
      </c>
      <c r="AD25" s="22" t="s">
        <v>0</v>
      </c>
      <c r="AE25" s="22" t="s">
        <v>0</v>
      </c>
      <c r="AF25" s="22" t="s">
        <v>0</v>
      </c>
      <c r="AG25" s="22" t="s">
        <v>0</v>
      </c>
      <c r="AH25" s="22" t="s">
        <v>0</v>
      </c>
      <c r="AI25" s="22" t="s">
        <v>0</v>
      </c>
      <c r="AJ25" s="22" t="s">
        <v>0</v>
      </c>
      <c r="AK25" s="22" t="s">
        <v>0</v>
      </c>
    </row>
    <row r="26" spans="1:37">
      <c r="A26" s="27"/>
      <c r="B26" s="27"/>
      <c r="C26" s="22" t="s">
        <v>35</v>
      </c>
      <c r="D26" s="23">
        <v>0.348277</v>
      </c>
      <c r="E26" s="23" t="s">
        <v>6</v>
      </c>
      <c r="F26" s="23">
        <v>0.568323</v>
      </c>
      <c r="G26" s="23">
        <v>0.006588</v>
      </c>
      <c r="H26" s="23" t="s">
        <v>6</v>
      </c>
      <c r="I26" s="23">
        <v>0.146284</v>
      </c>
      <c r="J26" s="23" t="s">
        <v>6</v>
      </c>
      <c r="K26" s="23">
        <v>0.809434</v>
      </c>
      <c r="L26" s="41" t="s">
        <v>0</v>
      </c>
      <c r="M26" s="41" t="s">
        <v>0</v>
      </c>
      <c r="N26" s="41" t="s">
        <v>0</v>
      </c>
      <c r="O26" s="41" t="s">
        <v>0</v>
      </c>
      <c r="P26" s="42" t="s">
        <v>0</v>
      </c>
      <c r="Q26" s="42" t="s">
        <v>0</v>
      </c>
      <c r="R26" s="42" t="s">
        <v>0</v>
      </c>
      <c r="S26" s="42" t="s">
        <v>0</v>
      </c>
      <c r="T26" s="42" t="s">
        <v>0</v>
      </c>
      <c r="U26" s="42" t="s">
        <v>0</v>
      </c>
      <c r="V26" s="42" t="s">
        <v>0</v>
      </c>
      <c r="W26" s="42" t="s">
        <v>0</v>
      </c>
      <c r="X26" s="42" t="s">
        <v>0</v>
      </c>
      <c r="Y26" s="42" t="s">
        <v>0</v>
      </c>
      <c r="Z26" s="42" t="s">
        <v>0</v>
      </c>
      <c r="AA26" s="42" t="s">
        <v>0</v>
      </c>
      <c r="AB26" s="42" t="s">
        <v>0</v>
      </c>
      <c r="AC26" s="43" t="s">
        <v>0</v>
      </c>
      <c r="AD26" s="22" t="s">
        <v>0</v>
      </c>
      <c r="AE26" s="22" t="s">
        <v>0</v>
      </c>
      <c r="AF26" s="22" t="s">
        <v>0</v>
      </c>
      <c r="AG26" s="22" t="s">
        <v>0</v>
      </c>
      <c r="AH26" s="22" t="s">
        <v>0</v>
      </c>
      <c r="AI26" s="22" t="s">
        <v>0</v>
      </c>
      <c r="AJ26" s="22" t="s">
        <v>0</v>
      </c>
      <c r="AK26" s="22" t="s">
        <v>0</v>
      </c>
    </row>
    <row r="27" spans="1:37">
      <c r="A27" s="27"/>
      <c r="B27" s="28"/>
      <c r="C27" s="22" t="s">
        <v>36</v>
      </c>
      <c r="D27" s="23">
        <v>7.695278</v>
      </c>
      <c r="E27" s="23" t="s">
        <v>6</v>
      </c>
      <c r="F27" s="23">
        <v>1.298344</v>
      </c>
      <c r="G27" s="23">
        <v>0.37175</v>
      </c>
      <c r="H27" s="23" t="s">
        <v>6</v>
      </c>
      <c r="I27" s="23">
        <v>1.129073</v>
      </c>
      <c r="J27" s="23" t="s">
        <v>6</v>
      </c>
      <c r="K27" s="23">
        <v>44.12084</v>
      </c>
      <c r="L27" s="41" t="s">
        <v>0</v>
      </c>
      <c r="M27" s="41" t="s">
        <v>0</v>
      </c>
      <c r="N27" s="41" t="s">
        <v>0</v>
      </c>
      <c r="O27" s="41" t="s">
        <v>0</v>
      </c>
      <c r="P27" s="42" t="s">
        <v>0</v>
      </c>
      <c r="Q27" s="42" t="s">
        <v>0</v>
      </c>
      <c r="R27" s="42" t="s">
        <v>0</v>
      </c>
      <c r="S27" s="42" t="s">
        <v>0</v>
      </c>
      <c r="T27" s="42" t="s">
        <v>0</v>
      </c>
      <c r="U27" s="42" t="s">
        <v>0</v>
      </c>
      <c r="V27" s="42" t="s">
        <v>0</v>
      </c>
      <c r="W27" s="42" t="s">
        <v>0</v>
      </c>
      <c r="X27" s="42" t="s">
        <v>0</v>
      </c>
      <c r="Y27" s="42" t="s">
        <v>0</v>
      </c>
      <c r="Z27" s="42" t="s">
        <v>0</v>
      </c>
      <c r="AA27" s="42" t="s">
        <v>0</v>
      </c>
      <c r="AB27" s="42" t="s">
        <v>0</v>
      </c>
      <c r="AC27" s="43" t="s">
        <v>0</v>
      </c>
      <c r="AD27" s="22" t="s">
        <v>0</v>
      </c>
      <c r="AE27" s="22" t="s">
        <v>0</v>
      </c>
      <c r="AF27" s="22" t="s">
        <v>0</v>
      </c>
      <c r="AG27" s="22" t="s">
        <v>0</v>
      </c>
      <c r="AH27" s="22" t="s">
        <v>0</v>
      </c>
      <c r="AI27" s="22" t="s">
        <v>0</v>
      </c>
      <c r="AJ27" s="22" t="s">
        <v>0</v>
      </c>
      <c r="AK27" s="22" t="s">
        <v>0</v>
      </c>
    </row>
    <row r="28" spans="1:37">
      <c r="A28" s="27"/>
      <c r="B28" s="22" t="s">
        <v>37</v>
      </c>
      <c r="C28" s="22" t="s">
        <v>38</v>
      </c>
      <c r="D28" s="23">
        <v>22.403676</v>
      </c>
      <c r="E28" s="23" t="s">
        <v>6</v>
      </c>
      <c r="F28" s="23">
        <v>0.657465</v>
      </c>
      <c r="G28" s="23">
        <v>1.016791</v>
      </c>
      <c r="H28" s="23" t="s">
        <v>6</v>
      </c>
      <c r="I28" s="23">
        <v>0.62874</v>
      </c>
      <c r="J28" s="23" t="s">
        <v>6</v>
      </c>
      <c r="K28" s="23">
        <v>70.04</v>
      </c>
      <c r="L28" s="41" t="s">
        <v>0</v>
      </c>
      <c r="M28" s="41" t="s">
        <v>0</v>
      </c>
      <c r="N28" s="41" t="s">
        <v>0</v>
      </c>
      <c r="O28" s="41" t="s">
        <v>0</v>
      </c>
      <c r="P28" s="42" t="s">
        <v>0</v>
      </c>
      <c r="Q28" s="42" t="s">
        <v>0</v>
      </c>
      <c r="R28" s="42" t="s">
        <v>0</v>
      </c>
      <c r="S28" s="42" t="s">
        <v>0</v>
      </c>
      <c r="T28" s="42" t="s">
        <v>0</v>
      </c>
      <c r="U28" s="42" t="s">
        <v>0</v>
      </c>
      <c r="V28" s="42" t="s">
        <v>0</v>
      </c>
      <c r="W28" s="42" t="s">
        <v>0</v>
      </c>
      <c r="X28" s="42" t="s">
        <v>0</v>
      </c>
      <c r="Y28" s="42" t="s">
        <v>0</v>
      </c>
      <c r="Z28" s="42" t="s">
        <v>0</v>
      </c>
      <c r="AA28" s="42" t="s">
        <v>0</v>
      </c>
      <c r="AB28" s="42" t="s">
        <v>0</v>
      </c>
      <c r="AC28" s="43" t="s">
        <v>0</v>
      </c>
      <c r="AD28" s="22" t="s">
        <v>0</v>
      </c>
      <c r="AE28" s="22" t="s">
        <v>0</v>
      </c>
      <c r="AF28" s="22" t="s">
        <v>0</v>
      </c>
      <c r="AG28" s="22" t="s">
        <v>0</v>
      </c>
      <c r="AH28" s="22" t="s">
        <v>0</v>
      </c>
      <c r="AI28" s="22" t="s">
        <v>0</v>
      </c>
      <c r="AJ28" s="22" t="s">
        <v>0</v>
      </c>
      <c r="AK28" s="22" t="s">
        <v>0</v>
      </c>
    </row>
    <row r="29" spans="1:37">
      <c r="A29" s="27"/>
      <c r="B29" s="27"/>
      <c r="C29" s="22" t="s">
        <v>39</v>
      </c>
      <c r="D29" s="23">
        <v>2.11889</v>
      </c>
      <c r="E29" s="23" t="s">
        <v>6</v>
      </c>
      <c r="F29" s="23">
        <v>0.7095</v>
      </c>
      <c r="G29" s="23">
        <v>0.037306</v>
      </c>
      <c r="H29" s="23" t="s">
        <v>6</v>
      </c>
      <c r="I29" s="23">
        <v>0.118587</v>
      </c>
      <c r="J29" s="23" t="s">
        <v>6</v>
      </c>
      <c r="K29" s="23">
        <v>3.302501</v>
      </c>
      <c r="L29" s="41" t="s">
        <v>0</v>
      </c>
      <c r="M29" s="41" t="s">
        <v>0</v>
      </c>
      <c r="N29" s="41" t="s">
        <v>0</v>
      </c>
      <c r="O29" s="41" t="s">
        <v>0</v>
      </c>
      <c r="P29" s="42" t="s">
        <v>0</v>
      </c>
      <c r="Q29" s="42" t="s">
        <v>0</v>
      </c>
      <c r="R29" s="42" t="s">
        <v>0</v>
      </c>
      <c r="S29" s="42" t="s">
        <v>0</v>
      </c>
      <c r="T29" s="42" t="s">
        <v>0</v>
      </c>
      <c r="U29" s="42" t="s">
        <v>0</v>
      </c>
      <c r="V29" s="42" t="s">
        <v>0</v>
      </c>
      <c r="W29" s="42" t="s">
        <v>0</v>
      </c>
      <c r="X29" s="42" t="s">
        <v>0</v>
      </c>
      <c r="Y29" s="42" t="s">
        <v>0</v>
      </c>
      <c r="Z29" s="42" t="s">
        <v>0</v>
      </c>
      <c r="AA29" s="42" t="s">
        <v>0</v>
      </c>
      <c r="AB29" s="42" t="s">
        <v>0</v>
      </c>
      <c r="AC29" s="43" t="s">
        <v>0</v>
      </c>
      <c r="AD29" s="22" t="s">
        <v>0</v>
      </c>
      <c r="AE29" s="22" t="s">
        <v>0</v>
      </c>
      <c r="AF29" s="22" t="s">
        <v>0</v>
      </c>
      <c r="AG29" s="22" t="s">
        <v>0</v>
      </c>
      <c r="AH29" s="22" t="s">
        <v>0</v>
      </c>
      <c r="AI29" s="22" t="s">
        <v>0</v>
      </c>
      <c r="AJ29" s="22" t="s">
        <v>0</v>
      </c>
      <c r="AK29" s="22" t="s">
        <v>0</v>
      </c>
    </row>
    <row r="30" spans="1:37">
      <c r="A30" s="27"/>
      <c r="B30" s="27"/>
      <c r="C30" s="22" t="s">
        <v>40</v>
      </c>
      <c r="D30" s="23">
        <v>374.967707</v>
      </c>
      <c r="E30" s="23" t="s">
        <v>6</v>
      </c>
      <c r="F30" s="23">
        <v>1.295688</v>
      </c>
      <c r="G30" s="23">
        <v>0.193888</v>
      </c>
      <c r="H30" s="23" t="s">
        <v>6</v>
      </c>
      <c r="I30" s="23">
        <v>0.43598</v>
      </c>
      <c r="J30" s="23" t="s">
        <v>6</v>
      </c>
      <c r="K30" s="23">
        <v>0.865</v>
      </c>
      <c r="L30" s="41" t="s">
        <v>0</v>
      </c>
      <c r="M30" s="41" t="s">
        <v>0</v>
      </c>
      <c r="N30" s="41" t="s">
        <v>0</v>
      </c>
      <c r="O30" s="41" t="s">
        <v>0</v>
      </c>
      <c r="P30" s="42" t="s">
        <v>0</v>
      </c>
      <c r="Q30" s="42" t="s">
        <v>0</v>
      </c>
      <c r="R30" s="42" t="s">
        <v>0</v>
      </c>
      <c r="S30" s="42" t="s">
        <v>0</v>
      </c>
      <c r="T30" s="42" t="s">
        <v>0</v>
      </c>
      <c r="U30" s="42" t="s">
        <v>0</v>
      </c>
      <c r="V30" s="42" t="s">
        <v>0</v>
      </c>
      <c r="W30" s="42" t="s">
        <v>0</v>
      </c>
      <c r="X30" s="42" t="s">
        <v>0</v>
      </c>
      <c r="Y30" s="42" t="s">
        <v>0</v>
      </c>
      <c r="Z30" s="42" t="s">
        <v>0</v>
      </c>
      <c r="AA30" s="42" t="s">
        <v>0</v>
      </c>
      <c r="AB30" s="42" t="s">
        <v>0</v>
      </c>
      <c r="AC30" s="43" t="s">
        <v>0</v>
      </c>
      <c r="AD30" s="22" t="s">
        <v>0</v>
      </c>
      <c r="AE30" s="22" t="s">
        <v>0</v>
      </c>
      <c r="AF30" s="22" t="s">
        <v>0</v>
      </c>
      <c r="AG30" s="22" t="s">
        <v>0</v>
      </c>
      <c r="AH30" s="22" t="s">
        <v>0</v>
      </c>
      <c r="AI30" s="22" t="s">
        <v>0</v>
      </c>
      <c r="AJ30" s="22" t="s">
        <v>0</v>
      </c>
      <c r="AK30" s="22" t="s">
        <v>0</v>
      </c>
    </row>
    <row r="31" spans="1:37">
      <c r="A31" s="27"/>
      <c r="B31" s="27"/>
      <c r="C31" s="22" t="s">
        <v>41</v>
      </c>
      <c r="D31" s="23">
        <v>9.81924</v>
      </c>
      <c r="E31" s="23" t="s">
        <v>6</v>
      </c>
      <c r="F31" s="23">
        <v>2.096461</v>
      </c>
      <c r="G31" s="23">
        <v>0.507194</v>
      </c>
      <c r="H31" s="23" t="s">
        <v>6</v>
      </c>
      <c r="I31" s="23">
        <v>1.952402</v>
      </c>
      <c r="J31" s="23" t="s">
        <v>6</v>
      </c>
      <c r="K31" s="23">
        <v>71.775743</v>
      </c>
      <c r="L31" s="41" t="s">
        <v>0</v>
      </c>
      <c r="M31" s="41" t="s">
        <v>0</v>
      </c>
      <c r="N31" s="41" t="s">
        <v>0</v>
      </c>
      <c r="O31" s="41" t="s">
        <v>0</v>
      </c>
      <c r="P31" s="42" t="s">
        <v>0</v>
      </c>
      <c r="Q31" s="42" t="s">
        <v>0</v>
      </c>
      <c r="R31" s="42" t="s">
        <v>0</v>
      </c>
      <c r="S31" s="42" t="s">
        <v>0</v>
      </c>
      <c r="T31" s="42" t="s">
        <v>0</v>
      </c>
      <c r="U31" s="42" t="s">
        <v>0</v>
      </c>
      <c r="V31" s="42" t="s">
        <v>0</v>
      </c>
      <c r="W31" s="42" t="s">
        <v>0</v>
      </c>
      <c r="X31" s="42" t="s">
        <v>0</v>
      </c>
      <c r="Y31" s="42" t="s">
        <v>0</v>
      </c>
      <c r="Z31" s="42" t="s">
        <v>0</v>
      </c>
      <c r="AA31" s="42" t="s">
        <v>0</v>
      </c>
      <c r="AB31" s="42" t="s">
        <v>0</v>
      </c>
      <c r="AC31" s="43" t="s">
        <v>0</v>
      </c>
      <c r="AD31" s="22" t="s">
        <v>0</v>
      </c>
      <c r="AE31" s="22" t="s">
        <v>0</v>
      </c>
      <c r="AF31" s="22" t="s">
        <v>0</v>
      </c>
      <c r="AG31" s="22" t="s">
        <v>0</v>
      </c>
      <c r="AH31" s="22" t="s">
        <v>0</v>
      </c>
      <c r="AI31" s="22" t="s">
        <v>0</v>
      </c>
      <c r="AJ31" s="22" t="s">
        <v>0</v>
      </c>
      <c r="AK31" s="22" t="s">
        <v>0</v>
      </c>
    </row>
    <row r="32" spans="1:37">
      <c r="A32" s="27"/>
      <c r="B32" s="27"/>
      <c r="C32" s="22" t="s">
        <v>42</v>
      </c>
      <c r="D32" s="23">
        <v>0.361363</v>
      </c>
      <c r="E32" s="23" t="s">
        <v>6</v>
      </c>
      <c r="F32" s="23">
        <v>0.863593</v>
      </c>
      <c r="G32" s="23">
        <v>0.014869</v>
      </c>
      <c r="H32" s="23" t="s">
        <v>6</v>
      </c>
      <c r="I32" s="23">
        <v>0.325293</v>
      </c>
      <c r="J32" s="23" t="s">
        <v>6</v>
      </c>
      <c r="K32" s="23">
        <v>0.878742</v>
      </c>
      <c r="L32" s="41" t="s">
        <v>0</v>
      </c>
      <c r="M32" s="41" t="s">
        <v>0</v>
      </c>
      <c r="N32" s="41" t="s">
        <v>0</v>
      </c>
      <c r="O32" s="41" t="s">
        <v>0</v>
      </c>
      <c r="P32" s="42" t="s">
        <v>0</v>
      </c>
      <c r="Q32" s="42" t="s">
        <v>0</v>
      </c>
      <c r="R32" s="42" t="s">
        <v>0</v>
      </c>
      <c r="S32" s="42" t="s">
        <v>0</v>
      </c>
      <c r="T32" s="42" t="s">
        <v>0</v>
      </c>
      <c r="U32" s="42" t="s">
        <v>0</v>
      </c>
      <c r="V32" s="42" t="s">
        <v>0</v>
      </c>
      <c r="W32" s="42" t="s">
        <v>0</v>
      </c>
      <c r="X32" s="42" t="s">
        <v>0</v>
      </c>
      <c r="Y32" s="42" t="s">
        <v>0</v>
      </c>
      <c r="Z32" s="42" t="s">
        <v>0</v>
      </c>
      <c r="AA32" s="42" t="s">
        <v>0</v>
      </c>
      <c r="AB32" s="42" t="s">
        <v>0</v>
      </c>
      <c r="AC32" s="43" t="s">
        <v>0</v>
      </c>
      <c r="AD32" s="22" t="s">
        <v>0</v>
      </c>
      <c r="AE32" s="22" t="s">
        <v>0</v>
      </c>
      <c r="AF32" s="22" t="s">
        <v>0</v>
      </c>
      <c r="AG32" s="22" t="s">
        <v>0</v>
      </c>
      <c r="AH32" s="22" t="s">
        <v>0</v>
      </c>
      <c r="AI32" s="22" t="s">
        <v>0</v>
      </c>
      <c r="AJ32" s="22" t="s">
        <v>0</v>
      </c>
      <c r="AK32" s="22" t="s">
        <v>0</v>
      </c>
    </row>
    <row r="33" spans="1:37">
      <c r="A33" s="27"/>
      <c r="B33" s="27"/>
      <c r="C33" s="22" t="s">
        <v>43</v>
      </c>
      <c r="D33" s="23">
        <v>0.742368</v>
      </c>
      <c r="E33" s="23" t="s">
        <v>6</v>
      </c>
      <c r="F33" s="23">
        <v>0.191142</v>
      </c>
      <c r="G33" s="23">
        <v>0.02007</v>
      </c>
      <c r="H33" s="23" t="s">
        <v>6</v>
      </c>
      <c r="I33" s="23">
        <v>0.213278</v>
      </c>
      <c r="J33" s="23" t="s">
        <v>6</v>
      </c>
      <c r="K33" s="23">
        <v>0.911869</v>
      </c>
      <c r="L33" s="41" t="s">
        <v>0</v>
      </c>
      <c r="M33" s="41" t="s">
        <v>0</v>
      </c>
      <c r="N33" s="41" t="s">
        <v>0</v>
      </c>
      <c r="O33" s="41" t="s">
        <v>0</v>
      </c>
      <c r="P33" s="42" t="s">
        <v>0</v>
      </c>
      <c r="Q33" s="42" t="s">
        <v>0</v>
      </c>
      <c r="R33" s="42" t="s">
        <v>0</v>
      </c>
      <c r="S33" s="42" t="s">
        <v>0</v>
      </c>
      <c r="T33" s="42" t="s">
        <v>0</v>
      </c>
      <c r="U33" s="42" t="s">
        <v>0</v>
      </c>
      <c r="V33" s="42" t="s">
        <v>0</v>
      </c>
      <c r="W33" s="42" t="s">
        <v>0</v>
      </c>
      <c r="X33" s="42" t="s">
        <v>0</v>
      </c>
      <c r="Y33" s="42" t="s">
        <v>0</v>
      </c>
      <c r="Z33" s="42" t="s">
        <v>0</v>
      </c>
      <c r="AA33" s="42" t="s">
        <v>0</v>
      </c>
      <c r="AB33" s="42" t="s">
        <v>0</v>
      </c>
      <c r="AC33" s="43" t="s">
        <v>0</v>
      </c>
      <c r="AD33" s="22" t="s">
        <v>0</v>
      </c>
      <c r="AE33" s="22" t="s">
        <v>0</v>
      </c>
      <c r="AF33" s="22" t="s">
        <v>0</v>
      </c>
      <c r="AG33" s="22" t="s">
        <v>0</v>
      </c>
      <c r="AH33" s="22" t="s">
        <v>0</v>
      </c>
      <c r="AI33" s="22" t="s">
        <v>0</v>
      </c>
      <c r="AJ33" s="22" t="s">
        <v>0</v>
      </c>
      <c r="AK33" s="22" t="s">
        <v>0</v>
      </c>
    </row>
    <row r="34" spans="1:37">
      <c r="A34" s="27"/>
      <c r="B34" s="27"/>
      <c r="C34" s="22" t="s">
        <v>44</v>
      </c>
      <c r="D34" s="23">
        <v>2.462819</v>
      </c>
      <c r="E34" s="23" t="s">
        <v>6</v>
      </c>
      <c r="F34" s="23">
        <v>2.588276</v>
      </c>
      <c r="G34" s="23">
        <v>0.052394</v>
      </c>
      <c r="H34" s="23" t="s">
        <v>6</v>
      </c>
      <c r="I34" s="23">
        <v>2.023106</v>
      </c>
      <c r="J34" s="23" t="s">
        <v>6</v>
      </c>
      <c r="K34" s="23">
        <v>0.477</v>
      </c>
      <c r="L34" s="41" t="s">
        <v>0</v>
      </c>
      <c r="M34" s="41" t="s">
        <v>0</v>
      </c>
      <c r="N34" s="41" t="s">
        <v>0</v>
      </c>
      <c r="O34" s="41" t="s">
        <v>0</v>
      </c>
      <c r="P34" s="42" t="s">
        <v>0</v>
      </c>
      <c r="Q34" s="42" t="s">
        <v>0</v>
      </c>
      <c r="R34" s="42" t="s">
        <v>0</v>
      </c>
      <c r="S34" s="42" t="s">
        <v>0</v>
      </c>
      <c r="T34" s="42" t="s">
        <v>0</v>
      </c>
      <c r="U34" s="42" t="s">
        <v>0</v>
      </c>
      <c r="V34" s="42" t="s">
        <v>0</v>
      </c>
      <c r="W34" s="42" t="s">
        <v>0</v>
      </c>
      <c r="X34" s="42" t="s">
        <v>0</v>
      </c>
      <c r="Y34" s="42" t="s">
        <v>0</v>
      </c>
      <c r="Z34" s="42" t="s">
        <v>0</v>
      </c>
      <c r="AA34" s="42" t="s">
        <v>0</v>
      </c>
      <c r="AB34" s="42" t="s">
        <v>0</v>
      </c>
      <c r="AC34" s="43" t="s">
        <v>0</v>
      </c>
      <c r="AD34" s="22" t="s">
        <v>0</v>
      </c>
      <c r="AE34" s="22" t="s">
        <v>0</v>
      </c>
      <c r="AF34" s="22" t="s">
        <v>0</v>
      </c>
      <c r="AG34" s="22" t="s">
        <v>0</v>
      </c>
      <c r="AH34" s="22" t="s">
        <v>0</v>
      </c>
      <c r="AI34" s="22" t="s">
        <v>0</v>
      </c>
      <c r="AJ34" s="22" t="s">
        <v>0</v>
      </c>
      <c r="AK34" s="22" t="s">
        <v>0</v>
      </c>
    </row>
    <row r="35" spans="1:37">
      <c r="A35" s="27"/>
      <c r="B35" s="28"/>
      <c r="C35" s="22" t="s">
        <v>45</v>
      </c>
      <c r="D35" s="23">
        <v>25.178972</v>
      </c>
      <c r="E35" s="23" t="s">
        <v>6</v>
      </c>
      <c r="F35" s="23">
        <v>0.623713</v>
      </c>
      <c r="G35" s="23">
        <v>0.41821</v>
      </c>
      <c r="H35" s="23" t="s">
        <v>6</v>
      </c>
      <c r="I35" s="23">
        <v>0.530773</v>
      </c>
      <c r="J35" s="23" t="s">
        <v>6</v>
      </c>
      <c r="K35" s="23">
        <v>2.570106</v>
      </c>
      <c r="L35" s="41" t="s">
        <v>0</v>
      </c>
      <c r="M35" s="41" t="s">
        <v>0</v>
      </c>
      <c r="N35" s="41" t="s">
        <v>0</v>
      </c>
      <c r="O35" s="41" t="s">
        <v>0</v>
      </c>
      <c r="P35" s="42" t="s">
        <v>0</v>
      </c>
      <c r="Q35" s="42" t="s">
        <v>0</v>
      </c>
      <c r="R35" s="42" t="s">
        <v>0</v>
      </c>
      <c r="S35" s="42" t="s">
        <v>0</v>
      </c>
      <c r="T35" s="42" t="s">
        <v>0</v>
      </c>
      <c r="U35" s="42" t="s">
        <v>0</v>
      </c>
      <c r="V35" s="42" t="s">
        <v>0</v>
      </c>
      <c r="W35" s="42" t="s">
        <v>0</v>
      </c>
      <c r="X35" s="42" t="s">
        <v>0</v>
      </c>
      <c r="Y35" s="42" t="s">
        <v>0</v>
      </c>
      <c r="Z35" s="42" t="s">
        <v>0</v>
      </c>
      <c r="AA35" s="42" t="s">
        <v>0</v>
      </c>
      <c r="AB35" s="42" t="s">
        <v>0</v>
      </c>
      <c r="AC35" s="43" t="s">
        <v>0</v>
      </c>
      <c r="AD35" s="22" t="s">
        <v>0</v>
      </c>
      <c r="AE35" s="22" t="s">
        <v>0</v>
      </c>
      <c r="AF35" s="22" t="s">
        <v>0</v>
      </c>
      <c r="AG35" s="22" t="s">
        <v>0</v>
      </c>
      <c r="AH35" s="22" t="s">
        <v>0</v>
      </c>
      <c r="AI35" s="22" t="s">
        <v>0</v>
      </c>
      <c r="AJ35" s="22" t="s">
        <v>0</v>
      </c>
      <c r="AK35" s="22" t="s">
        <v>0</v>
      </c>
    </row>
    <row r="36" spans="1:37">
      <c r="A36" s="27"/>
      <c r="B36" s="22" t="s">
        <v>46</v>
      </c>
      <c r="C36" s="22" t="s">
        <v>47</v>
      </c>
      <c r="D36" s="23">
        <v>741.266446</v>
      </c>
      <c r="E36" s="23">
        <v>77.775391</v>
      </c>
      <c r="F36" s="23">
        <v>2.59475</v>
      </c>
      <c r="G36" s="23">
        <v>29.933779</v>
      </c>
      <c r="H36" s="23">
        <v>17.629883</v>
      </c>
      <c r="I36" s="23">
        <v>2.591352</v>
      </c>
      <c r="J36" s="23">
        <v>12741</v>
      </c>
      <c r="K36" s="23">
        <v>69.874929</v>
      </c>
      <c r="L36" s="41" t="s">
        <v>0</v>
      </c>
      <c r="M36" s="41" t="s">
        <v>0</v>
      </c>
      <c r="N36" s="41" t="s">
        <v>0</v>
      </c>
      <c r="O36" s="41" t="s">
        <v>0</v>
      </c>
      <c r="P36" s="42" t="s">
        <v>0</v>
      </c>
      <c r="Q36" s="42" t="s">
        <v>0</v>
      </c>
      <c r="R36" s="42" t="s">
        <v>0</v>
      </c>
      <c r="S36" s="42" t="s">
        <v>0</v>
      </c>
      <c r="T36" s="42" t="s">
        <v>0</v>
      </c>
      <c r="U36" s="42" t="s">
        <v>0</v>
      </c>
      <c r="V36" s="42" t="s">
        <v>0</v>
      </c>
      <c r="W36" s="42" t="s">
        <v>0</v>
      </c>
      <c r="X36" s="42" t="s">
        <v>0</v>
      </c>
      <c r="Y36" s="42" t="s">
        <v>0</v>
      </c>
      <c r="Z36" s="42" t="s">
        <v>0</v>
      </c>
      <c r="AA36" s="42" t="s">
        <v>0</v>
      </c>
      <c r="AB36" s="42" t="s">
        <v>0</v>
      </c>
      <c r="AC36" s="43" t="s">
        <v>0</v>
      </c>
      <c r="AD36" s="22" t="s">
        <v>0</v>
      </c>
      <c r="AE36" s="22" t="s">
        <v>0</v>
      </c>
      <c r="AF36" s="22" t="s">
        <v>0</v>
      </c>
      <c r="AG36" s="22" t="s">
        <v>0</v>
      </c>
      <c r="AH36" s="22" t="s">
        <v>0</v>
      </c>
      <c r="AI36" s="22" t="s">
        <v>0</v>
      </c>
      <c r="AJ36" s="22" t="s">
        <v>0</v>
      </c>
      <c r="AK36" s="22" t="s">
        <v>0</v>
      </c>
    </row>
    <row r="37" spans="1:37">
      <c r="A37" s="27"/>
      <c r="B37" s="27"/>
      <c r="C37" s="22" t="s">
        <v>48</v>
      </c>
      <c r="D37" s="23">
        <v>15.116609</v>
      </c>
      <c r="E37" s="23">
        <v>694.72765</v>
      </c>
      <c r="F37" s="23">
        <v>0.670162</v>
      </c>
      <c r="G37" s="23">
        <v>0.705141</v>
      </c>
      <c r="H37" s="23">
        <v>50.387185</v>
      </c>
      <c r="I37" s="23">
        <v>1.209637</v>
      </c>
      <c r="J37" s="23">
        <v>357687</v>
      </c>
      <c r="K37" s="23">
        <v>69.582234</v>
      </c>
      <c r="L37" s="41" t="s">
        <v>0</v>
      </c>
      <c r="M37" s="41" t="s">
        <v>0</v>
      </c>
      <c r="N37" s="41" t="s">
        <v>0</v>
      </c>
      <c r="O37" s="41" t="s">
        <v>0</v>
      </c>
      <c r="P37" s="42" t="s">
        <v>0</v>
      </c>
      <c r="Q37" s="42" t="s">
        <v>0</v>
      </c>
      <c r="R37" s="42" t="s">
        <v>0</v>
      </c>
      <c r="S37" s="42" t="s">
        <v>0</v>
      </c>
      <c r="T37" s="42" t="s">
        <v>0</v>
      </c>
      <c r="U37" s="42" t="s">
        <v>0</v>
      </c>
      <c r="V37" s="42" t="s">
        <v>0</v>
      </c>
      <c r="W37" s="42" t="s">
        <v>0</v>
      </c>
      <c r="X37" s="42" t="s">
        <v>0</v>
      </c>
      <c r="Y37" s="42" t="s">
        <v>0</v>
      </c>
      <c r="Z37" s="42" t="s">
        <v>0</v>
      </c>
      <c r="AA37" s="42" t="s">
        <v>0</v>
      </c>
      <c r="AB37" s="42" t="s">
        <v>0</v>
      </c>
      <c r="AC37" s="43" t="s">
        <v>0</v>
      </c>
      <c r="AD37" s="22" t="s">
        <v>0</v>
      </c>
      <c r="AE37" s="22" t="s">
        <v>0</v>
      </c>
      <c r="AF37" s="22" t="s">
        <v>0</v>
      </c>
      <c r="AG37" s="22" t="s">
        <v>0</v>
      </c>
      <c r="AH37" s="22" t="s">
        <v>0</v>
      </c>
      <c r="AI37" s="22" t="s">
        <v>0</v>
      </c>
      <c r="AJ37" s="22" t="s">
        <v>0</v>
      </c>
      <c r="AK37" s="22" t="s">
        <v>0</v>
      </c>
    </row>
    <row r="38" spans="1:37">
      <c r="A38" s="27"/>
      <c r="B38" s="27"/>
      <c r="C38" s="22" t="s">
        <v>49</v>
      </c>
      <c r="D38" s="23">
        <v>53.501676</v>
      </c>
      <c r="E38" s="23">
        <v>17.77255</v>
      </c>
      <c r="F38" s="23">
        <v>0.65542</v>
      </c>
      <c r="G38" s="23">
        <v>0.176336</v>
      </c>
      <c r="H38" s="23">
        <v>17.613281</v>
      </c>
      <c r="I38" s="23">
        <v>0.66294</v>
      </c>
      <c r="J38" s="23">
        <v>5821</v>
      </c>
      <c r="K38" s="23">
        <v>69.623523</v>
      </c>
      <c r="L38" s="41" t="s">
        <v>0</v>
      </c>
      <c r="M38" s="41" t="s">
        <v>0</v>
      </c>
      <c r="N38" s="41" t="s">
        <v>0</v>
      </c>
      <c r="O38" s="41" t="s">
        <v>0</v>
      </c>
      <c r="P38" s="42" t="s">
        <v>0</v>
      </c>
      <c r="Q38" s="42" t="s">
        <v>0</v>
      </c>
      <c r="R38" s="42" t="s">
        <v>0</v>
      </c>
      <c r="S38" s="42" t="s">
        <v>0</v>
      </c>
      <c r="T38" s="42" t="s">
        <v>0</v>
      </c>
      <c r="U38" s="42" t="s">
        <v>0</v>
      </c>
      <c r="V38" s="42" t="s">
        <v>0</v>
      </c>
      <c r="W38" s="42" t="s">
        <v>0</v>
      </c>
      <c r="X38" s="42" t="s">
        <v>0</v>
      </c>
      <c r="Y38" s="42" t="s">
        <v>0</v>
      </c>
      <c r="Z38" s="42" t="s">
        <v>0</v>
      </c>
      <c r="AA38" s="42" t="s">
        <v>0</v>
      </c>
      <c r="AB38" s="42" t="s">
        <v>0</v>
      </c>
      <c r="AC38" s="43" t="s">
        <v>0</v>
      </c>
      <c r="AD38" s="22" t="s">
        <v>0</v>
      </c>
      <c r="AE38" s="22" t="s">
        <v>0</v>
      </c>
      <c r="AF38" s="22" t="s">
        <v>0</v>
      </c>
      <c r="AG38" s="22" t="s">
        <v>0</v>
      </c>
      <c r="AH38" s="22" t="s">
        <v>0</v>
      </c>
      <c r="AI38" s="22" t="s">
        <v>0</v>
      </c>
      <c r="AJ38" s="22" t="s">
        <v>0</v>
      </c>
      <c r="AK38" s="22" t="s">
        <v>0</v>
      </c>
    </row>
    <row r="39" spans="1:37">
      <c r="A39" s="27"/>
      <c r="B39" s="27"/>
      <c r="C39" s="22" t="s">
        <v>50</v>
      </c>
      <c r="D39" s="23">
        <v>86.816599</v>
      </c>
      <c r="E39" s="23">
        <v>1722.629883</v>
      </c>
      <c r="F39" s="23">
        <v>0.656987</v>
      </c>
      <c r="G39" s="23">
        <v>0.019937</v>
      </c>
      <c r="H39" s="23">
        <v>216.653343</v>
      </c>
      <c r="I39" s="23">
        <v>0.682559</v>
      </c>
      <c r="J39" s="23">
        <v>4928623</v>
      </c>
      <c r="K39" s="23">
        <v>28.705756</v>
      </c>
      <c r="L39" s="41" t="s">
        <v>0</v>
      </c>
      <c r="M39" s="41" t="s">
        <v>0</v>
      </c>
      <c r="N39" s="41" t="s">
        <v>0</v>
      </c>
      <c r="O39" s="41" t="s">
        <v>0</v>
      </c>
      <c r="P39" s="42" t="s">
        <v>0</v>
      </c>
      <c r="Q39" s="42" t="s">
        <v>0</v>
      </c>
      <c r="R39" s="42" t="s">
        <v>0</v>
      </c>
      <c r="S39" s="42" t="s">
        <v>0</v>
      </c>
      <c r="T39" s="42" t="s">
        <v>0</v>
      </c>
      <c r="U39" s="42" t="s">
        <v>0</v>
      </c>
      <c r="V39" s="42" t="s">
        <v>0</v>
      </c>
      <c r="W39" s="42" t="s">
        <v>0</v>
      </c>
      <c r="X39" s="42" t="s">
        <v>0</v>
      </c>
      <c r="Y39" s="42" t="s">
        <v>0</v>
      </c>
      <c r="Z39" s="42" t="s">
        <v>0</v>
      </c>
      <c r="AA39" s="42" t="s">
        <v>0</v>
      </c>
      <c r="AB39" s="42" t="s">
        <v>0</v>
      </c>
      <c r="AC39" s="43" t="s">
        <v>0</v>
      </c>
      <c r="AD39" s="22" t="s">
        <v>0</v>
      </c>
      <c r="AE39" s="22" t="s">
        <v>0</v>
      </c>
      <c r="AF39" s="22" t="s">
        <v>0</v>
      </c>
      <c r="AG39" s="22" t="s">
        <v>0</v>
      </c>
      <c r="AH39" s="22" t="s">
        <v>0</v>
      </c>
      <c r="AI39" s="22" t="s">
        <v>0</v>
      </c>
      <c r="AJ39" s="22" t="s">
        <v>0</v>
      </c>
      <c r="AK39" s="22" t="s">
        <v>0</v>
      </c>
    </row>
    <row r="40" spans="1:37">
      <c r="A40" s="27"/>
      <c r="B40" s="27"/>
      <c r="C40" s="22" t="s">
        <v>51</v>
      </c>
      <c r="D40" s="22">
        <v>277.191181</v>
      </c>
      <c r="E40" s="22">
        <v>216.166504</v>
      </c>
      <c r="F40" s="22">
        <v>1.862213</v>
      </c>
      <c r="G40" s="22">
        <v>0.042648</v>
      </c>
      <c r="H40" s="22">
        <v>180.728249</v>
      </c>
      <c r="I40" s="22">
        <v>2.242177</v>
      </c>
      <c r="J40" s="22">
        <v>347456</v>
      </c>
      <c r="K40" s="22">
        <v>1.356418</v>
      </c>
      <c r="L40" s="41" t="s">
        <v>0</v>
      </c>
      <c r="M40" s="41" t="s">
        <v>0</v>
      </c>
      <c r="N40" s="41" t="s">
        <v>0</v>
      </c>
      <c r="O40" s="41" t="s">
        <v>0</v>
      </c>
      <c r="P40" s="42" t="s">
        <v>0</v>
      </c>
      <c r="Q40" s="42" t="s">
        <v>0</v>
      </c>
      <c r="R40" s="42" t="s">
        <v>0</v>
      </c>
      <c r="S40" s="42" t="s">
        <v>0</v>
      </c>
      <c r="T40" s="42" t="s">
        <v>0</v>
      </c>
      <c r="U40" s="42" t="s">
        <v>0</v>
      </c>
      <c r="V40" s="42" t="s">
        <v>0</v>
      </c>
      <c r="W40" s="42" t="s">
        <v>0</v>
      </c>
      <c r="X40" s="42" t="s">
        <v>0</v>
      </c>
      <c r="Y40" s="42" t="s">
        <v>0</v>
      </c>
      <c r="Z40" s="42" t="s">
        <v>0</v>
      </c>
      <c r="AA40" s="42" t="s">
        <v>0</v>
      </c>
      <c r="AB40" s="42" t="s">
        <v>0</v>
      </c>
      <c r="AC40" s="43" t="s">
        <v>0</v>
      </c>
      <c r="AD40" s="22" t="s">
        <v>0</v>
      </c>
      <c r="AE40" s="22" t="s">
        <v>0</v>
      </c>
      <c r="AF40" s="22" t="s">
        <v>0</v>
      </c>
      <c r="AG40" s="22" t="s">
        <v>0</v>
      </c>
      <c r="AH40" s="22" t="s">
        <v>0</v>
      </c>
      <c r="AI40" s="22" t="s">
        <v>0</v>
      </c>
      <c r="AJ40" s="22" t="s">
        <v>0</v>
      </c>
      <c r="AK40" s="22" t="s">
        <v>0</v>
      </c>
    </row>
    <row r="41" spans="1:37">
      <c r="A41" s="27"/>
      <c r="B41" s="27"/>
      <c r="C41" s="22" t="s">
        <v>52</v>
      </c>
      <c r="D41" s="22">
        <v>538.694106</v>
      </c>
      <c r="E41" s="22">
        <v>2643.196156</v>
      </c>
      <c r="F41" s="22">
        <v>0.658065</v>
      </c>
      <c r="G41" s="22">
        <v>0.046528</v>
      </c>
      <c r="H41" s="22">
        <v>333.786732</v>
      </c>
      <c r="I41" s="22">
        <v>0.659583</v>
      </c>
      <c r="J41" s="22">
        <v>946775</v>
      </c>
      <c r="K41" s="22">
        <v>37.809942</v>
      </c>
      <c r="L41" s="41" t="s">
        <v>0</v>
      </c>
      <c r="M41" s="41" t="s">
        <v>0</v>
      </c>
      <c r="N41" s="41" t="s">
        <v>0</v>
      </c>
      <c r="O41" s="41" t="s">
        <v>0</v>
      </c>
      <c r="P41" s="42" t="s">
        <v>0</v>
      </c>
      <c r="Q41" s="42" t="s">
        <v>0</v>
      </c>
      <c r="R41" s="42" t="s">
        <v>0</v>
      </c>
      <c r="S41" s="42" t="s">
        <v>0</v>
      </c>
      <c r="T41" s="42" t="s">
        <v>0</v>
      </c>
      <c r="U41" s="42" t="s">
        <v>0</v>
      </c>
      <c r="V41" s="42" t="s">
        <v>0</v>
      </c>
      <c r="W41" s="42" t="s">
        <v>0</v>
      </c>
      <c r="X41" s="42" t="s">
        <v>0</v>
      </c>
      <c r="Y41" s="42" t="s">
        <v>0</v>
      </c>
      <c r="Z41" s="42" t="s">
        <v>0</v>
      </c>
      <c r="AA41" s="42" t="s">
        <v>0</v>
      </c>
      <c r="AB41" s="42" t="s">
        <v>0</v>
      </c>
      <c r="AC41" s="43" t="s">
        <v>0</v>
      </c>
      <c r="AD41" s="22" t="s">
        <v>0</v>
      </c>
      <c r="AE41" s="22" t="s">
        <v>0</v>
      </c>
      <c r="AF41" s="22" t="s">
        <v>0</v>
      </c>
      <c r="AG41" s="22" t="s">
        <v>0</v>
      </c>
      <c r="AH41" s="22" t="s">
        <v>0</v>
      </c>
      <c r="AI41" s="22" t="s">
        <v>0</v>
      </c>
      <c r="AJ41" s="22" t="s">
        <v>0</v>
      </c>
      <c r="AK41" s="22" t="s">
        <v>0</v>
      </c>
    </row>
    <row r="42" spans="1:37">
      <c r="A42" s="27"/>
      <c r="B42" s="27"/>
      <c r="C42" s="22" t="s">
        <v>53</v>
      </c>
      <c r="D42" s="22">
        <v>252.133016</v>
      </c>
      <c r="E42" s="22">
        <v>1031.778187</v>
      </c>
      <c r="F42" s="22">
        <v>1.037019</v>
      </c>
      <c r="G42" s="22">
        <v>0.132912</v>
      </c>
      <c r="H42" s="22">
        <v>202.345059</v>
      </c>
      <c r="I42" s="22">
        <v>0.888405</v>
      </c>
      <c r="J42" s="22">
        <v>6806127</v>
      </c>
      <c r="K42" s="22">
        <v>25.986419</v>
      </c>
      <c r="L42" s="41" t="s">
        <v>0</v>
      </c>
      <c r="M42" s="41" t="s">
        <v>0</v>
      </c>
      <c r="N42" s="41" t="s">
        <v>0</v>
      </c>
      <c r="O42" s="41" t="s">
        <v>0</v>
      </c>
      <c r="P42" s="42" t="s">
        <v>0</v>
      </c>
      <c r="Q42" s="42" t="s">
        <v>0</v>
      </c>
      <c r="R42" s="42" t="s">
        <v>0</v>
      </c>
      <c r="S42" s="42" t="s">
        <v>0</v>
      </c>
      <c r="T42" s="42" t="s">
        <v>0</v>
      </c>
      <c r="U42" s="42" t="s">
        <v>0</v>
      </c>
      <c r="V42" s="42" t="s">
        <v>0</v>
      </c>
      <c r="W42" s="42" t="s">
        <v>0</v>
      </c>
      <c r="X42" s="42" t="s">
        <v>0</v>
      </c>
      <c r="Y42" s="42" t="s">
        <v>0</v>
      </c>
      <c r="Z42" s="42" t="s">
        <v>0</v>
      </c>
      <c r="AA42" s="46" t="s">
        <v>0</v>
      </c>
      <c r="AB42" s="46" t="s">
        <v>0</v>
      </c>
      <c r="AC42" s="45" t="s">
        <v>84</v>
      </c>
      <c r="AD42" s="32" t="s">
        <v>85</v>
      </c>
      <c r="AE42" s="32" t="s">
        <v>86</v>
      </c>
      <c r="AF42" s="32" t="s">
        <v>87</v>
      </c>
      <c r="AG42" s="32" t="s">
        <v>88</v>
      </c>
      <c r="AH42" s="32" t="s">
        <v>89</v>
      </c>
      <c r="AI42" s="32" t="s">
        <v>90</v>
      </c>
      <c r="AJ42" s="32" t="s">
        <v>91</v>
      </c>
      <c r="AK42" s="32" t="s">
        <v>92</v>
      </c>
    </row>
    <row r="43" spans="1:37">
      <c r="A43" s="27"/>
      <c r="B43" s="27"/>
      <c r="C43" s="22" t="s">
        <v>54</v>
      </c>
      <c r="D43" s="22">
        <v>250.483391</v>
      </c>
      <c r="E43" s="22">
        <v>36.71582</v>
      </c>
      <c r="F43" s="22">
        <v>1.248043</v>
      </c>
      <c r="G43" s="22">
        <v>0.365035</v>
      </c>
      <c r="H43" s="22">
        <v>33.579102</v>
      </c>
      <c r="I43" s="22">
        <v>1.800345</v>
      </c>
      <c r="J43" s="22">
        <v>83991</v>
      </c>
      <c r="K43" s="22">
        <v>69.915358</v>
      </c>
      <c r="L43" s="41" t="s">
        <v>0</v>
      </c>
      <c r="M43" s="41" t="s">
        <v>0</v>
      </c>
      <c r="N43" s="41" t="s">
        <v>0</v>
      </c>
      <c r="O43" s="41" t="s">
        <v>0</v>
      </c>
      <c r="P43" s="42" t="s">
        <v>0</v>
      </c>
      <c r="Q43" s="42" t="s">
        <v>0</v>
      </c>
      <c r="R43" s="42" t="s">
        <v>0</v>
      </c>
      <c r="S43" s="42" t="s">
        <v>0</v>
      </c>
      <c r="T43" s="42" t="s">
        <v>0</v>
      </c>
      <c r="U43" s="42" t="s">
        <v>0</v>
      </c>
      <c r="V43" s="42" t="s">
        <v>0</v>
      </c>
      <c r="W43" s="42" t="s">
        <v>0</v>
      </c>
      <c r="X43" s="42" t="s">
        <v>0</v>
      </c>
      <c r="Y43" s="42" t="s">
        <v>0</v>
      </c>
      <c r="Z43" s="42" t="s">
        <v>0</v>
      </c>
      <c r="AA43" s="42" t="s">
        <v>0</v>
      </c>
      <c r="AB43" s="42" t="s">
        <v>0</v>
      </c>
      <c r="AC43" s="43" t="s">
        <v>0</v>
      </c>
      <c r="AD43" s="22" t="s">
        <v>0</v>
      </c>
      <c r="AE43" s="22" t="s">
        <v>0</v>
      </c>
      <c r="AF43" s="22" t="s">
        <v>0</v>
      </c>
      <c r="AG43" s="22" t="s">
        <v>0</v>
      </c>
      <c r="AH43" s="22" t="s">
        <v>0</v>
      </c>
      <c r="AI43" s="22" t="s">
        <v>0</v>
      </c>
      <c r="AJ43" s="22" t="s">
        <v>0</v>
      </c>
      <c r="AK43" s="22" t="s">
        <v>0</v>
      </c>
    </row>
    <row r="44" spans="1:37">
      <c r="A44" s="27"/>
      <c r="B44" s="27"/>
      <c r="C44" s="22" t="s">
        <v>55</v>
      </c>
      <c r="D44" s="22">
        <v>251.557443</v>
      </c>
      <c r="E44" s="22">
        <v>507.830922</v>
      </c>
      <c r="F44" s="22">
        <v>1.098184</v>
      </c>
      <c r="G44" s="22">
        <v>0.156923</v>
      </c>
      <c r="H44" s="22">
        <v>190.3305</v>
      </c>
      <c r="I44" s="22">
        <v>0.776923</v>
      </c>
      <c r="J44" s="22">
        <v>4709847</v>
      </c>
      <c r="K44" s="22">
        <v>19.205555</v>
      </c>
      <c r="L44" s="41" t="s">
        <v>0</v>
      </c>
      <c r="M44" s="41" t="s">
        <v>0</v>
      </c>
      <c r="N44" s="41" t="s">
        <v>0</v>
      </c>
      <c r="O44" s="41" t="s">
        <v>0</v>
      </c>
      <c r="P44" s="42" t="s">
        <v>0</v>
      </c>
      <c r="Q44" s="42" t="s">
        <v>0</v>
      </c>
      <c r="R44" s="42" t="s">
        <v>0</v>
      </c>
      <c r="S44" s="42" t="s">
        <v>0</v>
      </c>
      <c r="T44" s="42" t="s">
        <v>0</v>
      </c>
      <c r="U44" s="42" t="s">
        <v>0</v>
      </c>
      <c r="V44" s="42" t="s">
        <v>0</v>
      </c>
      <c r="W44" s="42" t="s">
        <v>0</v>
      </c>
      <c r="X44" s="42" t="s">
        <v>0</v>
      </c>
      <c r="Y44" s="42" t="s">
        <v>0</v>
      </c>
      <c r="Z44" s="42" t="s">
        <v>0</v>
      </c>
      <c r="AA44" s="42" t="s">
        <v>0</v>
      </c>
      <c r="AB44" s="42" t="s">
        <v>0</v>
      </c>
      <c r="AC44" s="43" t="s">
        <v>0</v>
      </c>
      <c r="AD44" s="22" t="s">
        <v>0</v>
      </c>
      <c r="AE44" s="22" t="s">
        <v>0</v>
      </c>
      <c r="AF44" s="22" t="s">
        <v>0</v>
      </c>
      <c r="AG44" s="22" t="s">
        <v>0</v>
      </c>
      <c r="AH44" s="22" t="s">
        <v>0</v>
      </c>
      <c r="AI44" s="22" t="s">
        <v>0</v>
      </c>
      <c r="AJ44" s="22" t="s">
        <v>0</v>
      </c>
      <c r="AK44" s="22" t="s">
        <v>0</v>
      </c>
    </row>
    <row r="45" spans="1:37">
      <c r="A45" s="27"/>
      <c r="B45" s="27"/>
      <c r="C45" s="22" t="s">
        <v>56</v>
      </c>
      <c r="D45" s="22">
        <v>34.822951</v>
      </c>
      <c r="E45" s="22">
        <v>84.970215</v>
      </c>
      <c r="F45" s="22">
        <v>0.659157</v>
      </c>
      <c r="G45" s="22">
        <v>0.017853</v>
      </c>
      <c r="H45" s="22">
        <v>35.151256</v>
      </c>
      <c r="I45" s="22">
        <v>0.679748</v>
      </c>
      <c r="J45" s="22">
        <v>641499</v>
      </c>
      <c r="K45" s="22">
        <v>2.46629</v>
      </c>
      <c r="L45" s="41" t="s">
        <v>0</v>
      </c>
      <c r="M45" s="41" t="s">
        <v>0</v>
      </c>
      <c r="N45" s="41" t="s">
        <v>0</v>
      </c>
      <c r="O45" s="41" t="s">
        <v>0</v>
      </c>
      <c r="P45" s="42" t="s">
        <v>0</v>
      </c>
      <c r="Q45" s="42" t="s">
        <v>0</v>
      </c>
      <c r="R45" s="42" t="s">
        <v>0</v>
      </c>
      <c r="S45" s="42" t="s">
        <v>0</v>
      </c>
      <c r="T45" s="42" t="s">
        <v>0</v>
      </c>
      <c r="U45" s="42" t="s">
        <v>0</v>
      </c>
      <c r="V45" s="42" t="s">
        <v>0</v>
      </c>
      <c r="W45" s="42" t="s">
        <v>0</v>
      </c>
      <c r="X45" s="42" t="s">
        <v>0</v>
      </c>
      <c r="Y45" s="42" t="s">
        <v>0</v>
      </c>
      <c r="Z45" s="42" t="s">
        <v>0</v>
      </c>
      <c r="AA45" s="42" t="s">
        <v>0</v>
      </c>
      <c r="AB45" s="42" t="s">
        <v>0</v>
      </c>
      <c r="AC45" s="43" t="s">
        <v>0</v>
      </c>
      <c r="AD45" s="22" t="s">
        <v>0</v>
      </c>
      <c r="AE45" s="22" t="s">
        <v>0</v>
      </c>
      <c r="AF45" s="22" t="s">
        <v>0</v>
      </c>
      <c r="AG45" s="22" t="s">
        <v>0</v>
      </c>
      <c r="AH45" s="22" t="s">
        <v>0</v>
      </c>
      <c r="AI45" s="22" t="s">
        <v>0</v>
      </c>
      <c r="AJ45" s="22" t="s">
        <v>0</v>
      </c>
      <c r="AK45" s="22" t="s">
        <v>0</v>
      </c>
    </row>
    <row r="46" spans="1:37">
      <c r="A46" s="27"/>
      <c r="B46" s="27"/>
      <c r="C46" s="22" t="s">
        <v>57</v>
      </c>
      <c r="D46" s="22">
        <v>1612.853983</v>
      </c>
      <c r="E46" s="22">
        <v>1983.13481</v>
      </c>
      <c r="F46" s="22">
        <v>1.360492</v>
      </c>
      <c r="G46" s="22">
        <v>4.771264</v>
      </c>
      <c r="H46" s="22">
        <v>620.436279</v>
      </c>
      <c r="I46" s="22">
        <v>2.106991</v>
      </c>
      <c r="J46" s="22">
        <v>52779909</v>
      </c>
      <c r="K46" s="22">
        <v>220.983515</v>
      </c>
      <c r="L46" s="41" t="s">
        <v>0</v>
      </c>
      <c r="M46" s="41" t="s">
        <v>0</v>
      </c>
      <c r="N46" s="41" t="s">
        <v>0</v>
      </c>
      <c r="O46" s="41" t="s">
        <v>0</v>
      </c>
      <c r="P46" s="42" t="s">
        <v>0</v>
      </c>
      <c r="Q46" s="42" t="s">
        <v>0</v>
      </c>
      <c r="R46" s="42" t="s">
        <v>0</v>
      </c>
      <c r="S46" s="42" t="s">
        <v>0</v>
      </c>
      <c r="T46" s="42" t="s">
        <v>0</v>
      </c>
      <c r="U46" s="42" t="s">
        <v>0</v>
      </c>
      <c r="V46" s="42" t="s">
        <v>0</v>
      </c>
      <c r="W46" s="42" t="s">
        <v>0</v>
      </c>
      <c r="X46" s="42" t="s">
        <v>0</v>
      </c>
      <c r="Y46" s="42" t="s">
        <v>0</v>
      </c>
      <c r="Z46" s="42" t="s">
        <v>0</v>
      </c>
      <c r="AA46" s="42" t="s">
        <v>0</v>
      </c>
      <c r="AB46" s="42" t="s">
        <v>0</v>
      </c>
      <c r="AC46" s="43" t="s">
        <v>0</v>
      </c>
      <c r="AD46" s="22" t="s">
        <v>0</v>
      </c>
      <c r="AE46" s="22" t="s">
        <v>0</v>
      </c>
      <c r="AF46" s="22" t="s">
        <v>0</v>
      </c>
      <c r="AG46" s="22" t="s">
        <v>0</v>
      </c>
      <c r="AH46" s="22" t="s">
        <v>0</v>
      </c>
      <c r="AI46" s="22" t="s">
        <v>0</v>
      </c>
      <c r="AJ46" s="22" t="s">
        <v>0</v>
      </c>
      <c r="AK46" s="22" t="s">
        <v>0</v>
      </c>
    </row>
    <row r="47" spans="1:37">
      <c r="A47" s="27"/>
      <c r="B47" s="27"/>
      <c r="C47" s="22" t="s">
        <v>58</v>
      </c>
      <c r="D47" s="22">
        <v>76.048622</v>
      </c>
      <c r="E47" s="22">
        <v>294.279341</v>
      </c>
      <c r="F47" s="22">
        <v>0.67683</v>
      </c>
      <c r="G47" s="22">
        <v>1.861218</v>
      </c>
      <c r="H47" s="22">
        <v>240.768843</v>
      </c>
      <c r="I47" s="22">
        <v>0.68312</v>
      </c>
      <c r="J47" s="22">
        <v>9281</v>
      </c>
      <c r="K47" s="22">
        <v>0.042386</v>
      </c>
      <c r="L47" s="41" t="s">
        <v>0</v>
      </c>
      <c r="M47" s="41" t="s">
        <v>0</v>
      </c>
      <c r="N47" s="41" t="s">
        <v>0</v>
      </c>
      <c r="O47" s="41" t="s">
        <v>0</v>
      </c>
      <c r="P47" s="42" t="s">
        <v>0</v>
      </c>
      <c r="Q47" s="42" t="s">
        <v>0</v>
      </c>
      <c r="R47" s="42" t="s">
        <v>0</v>
      </c>
      <c r="S47" s="42" t="s">
        <v>0</v>
      </c>
      <c r="T47" s="42" t="s">
        <v>0</v>
      </c>
      <c r="U47" s="42" t="s">
        <v>0</v>
      </c>
      <c r="V47" s="42" t="s">
        <v>0</v>
      </c>
      <c r="W47" s="42" t="s">
        <v>0</v>
      </c>
      <c r="X47" s="42" t="s">
        <v>0</v>
      </c>
      <c r="Y47" s="42" t="s">
        <v>0</v>
      </c>
      <c r="Z47" s="42" t="s">
        <v>0</v>
      </c>
      <c r="AA47" s="42" t="s">
        <v>0</v>
      </c>
      <c r="AB47" s="42" t="s">
        <v>0</v>
      </c>
      <c r="AC47" s="43" t="s">
        <v>0</v>
      </c>
      <c r="AD47" s="22" t="s">
        <v>0</v>
      </c>
      <c r="AE47" s="22" t="s">
        <v>0</v>
      </c>
      <c r="AF47" s="22" t="s">
        <v>0</v>
      </c>
      <c r="AG47" s="22" t="s">
        <v>0</v>
      </c>
      <c r="AH47" s="22" t="s">
        <v>0</v>
      </c>
      <c r="AI47" s="22" t="s">
        <v>0</v>
      </c>
      <c r="AJ47" s="22" t="s">
        <v>0</v>
      </c>
      <c r="AK47" s="22" t="s">
        <v>0</v>
      </c>
    </row>
    <row r="48" spans="1:37">
      <c r="A48" s="27"/>
      <c r="B48" s="27"/>
      <c r="C48" s="22" t="s">
        <v>59</v>
      </c>
      <c r="D48" s="22">
        <v>44.248353</v>
      </c>
      <c r="E48" s="22">
        <v>2104.199707</v>
      </c>
      <c r="F48" s="22">
        <v>1.150919</v>
      </c>
      <c r="G48" s="22">
        <v>0.256011</v>
      </c>
      <c r="H48" s="22">
        <v>620.511541</v>
      </c>
      <c r="I48" s="22">
        <v>1.244881</v>
      </c>
      <c r="J48" s="22">
        <v>3206243</v>
      </c>
      <c r="K48" s="22">
        <v>12.238356</v>
      </c>
      <c r="L48" s="41" t="s">
        <v>0</v>
      </c>
      <c r="M48" s="41" t="s">
        <v>0</v>
      </c>
      <c r="N48" s="41" t="s">
        <v>0</v>
      </c>
      <c r="O48" s="41" t="s">
        <v>0</v>
      </c>
      <c r="P48" s="42" t="s">
        <v>0</v>
      </c>
      <c r="Q48" s="42" t="s">
        <v>0</v>
      </c>
      <c r="R48" s="42" t="s">
        <v>0</v>
      </c>
      <c r="S48" s="42" t="s">
        <v>0</v>
      </c>
      <c r="T48" s="42" t="s">
        <v>0</v>
      </c>
      <c r="U48" s="42" t="s">
        <v>0</v>
      </c>
      <c r="V48" s="42" t="s">
        <v>0</v>
      </c>
      <c r="W48" s="42" t="s">
        <v>0</v>
      </c>
      <c r="X48" s="42" t="s">
        <v>0</v>
      </c>
      <c r="Y48" s="42" t="s">
        <v>0</v>
      </c>
      <c r="Z48" s="42" t="s">
        <v>0</v>
      </c>
      <c r="AA48" s="42" t="s">
        <v>0</v>
      </c>
      <c r="AB48" s="42" t="s">
        <v>0</v>
      </c>
      <c r="AC48" s="43" t="s">
        <v>0</v>
      </c>
      <c r="AD48" s="22" t="s">
        <v>0</v>
      </c>
      <c r="AE48" s="22" t="s">
        <v>0</v>
      </c>
      <c r="AF48" s="22" t="s">
        <v>0</v>
      </c>
      <c r="AG48" s="22" t="s">
        <v>0</v>
      </c>
      <c r="AH48" s="22" t="s">
        <v>0</v>
      </c>
      <c r="AI48" s="22" t="s">
        <v>0</v>
      </c>
      <c r="AJ48" s="22" t="s">
        <v>0</v>
      </c>
      <c r="AK48" s="22" t="s">
        <v>0</v>
      </c>
    </row>
    <row r="49" spans="1:37">
      <c r="A49" s="27"/>
      <c r="B49" s="27"/>
      <c r="C49" s="22" t="s">
        <v>60</v>
      </c>
      <c r="D49" s="22">
        <v>129.258425</v>
      </c>
      <c r="E49" s="22">
        <v>2860.826682</v>
      </c>
      <c r="F49" s="22">
        <v>0.656433</v>
      </c>
      <c r="G49" s="22">
        <v>0.521847</v>
      </c>
      <c r="H49" s="22">
        <v>1303.488281</v>
      </c>
      <c r="I49" s="22">
        <v>0.661952</v>
      </c>
      <c r="J49" s="22">
        <v>557637</v>
      </c>
      <c r="K49" s="22">
        <v>2.134968</v>
      </c>
      <c r="L49" s="41" t="s">
        <v>0</v>
      </c>
      <c r="M49" s="41" t="s">
        <v>0</v>
      </c>
      <c r="N49" s="41" t="s">
        <v>0</v>
      </c>
      <c r="O49" s="41" t="s">
        <v>0</v>
      </c>
      <c r="P49" s="42" t="s">
        <v>0</v>
      </c>
      <c r="Q49" s="42" t="s">
        <v>0</v>
      </c>
      <c r="R49" s="42" t="s">
        <v>0</v>
      </c>
      <c r="S49" s="42" t="s">
        <v>0</v>
      </c>
      <c r="T49" s="42" t="s">
        <v>0</v>
      </c>
      <c r="U49" s="42" t="s">
        <v>0</v>
      </c>
      <c r="V49" s="42" t="s">
        <v>0</v>
      </c>
      <c r="W49" s="42" t="s">
        <v>0</v>
      </c>
      <c r="X49" s="42" t="s">
        <v>0</v>
      </c>
      <c r="Y49" s="42" t="s">
        <v>0</v>
      </c>
      <c r="Z49" s="42" t="s">
        <v>0</v>
      </c>
      <c r="AA49" s="42" t="s">
        <v>0</v>
      </c>
      <c r="AB49" s="42" t="s">
        <v>0</v>
      </c>
      <c r="AC49" s="43" t="s">
        <v>0</v>
      </c>
      <c r="AD49" s="22" t="s">
        <v>0</v>
      </c>
      <c r="AE49" s="22" t="s">
        <v>0</v>
      </c>
      <c r="AF49" s="22" t="s">
        <v>0</v>
      </c>
      <c r="AG49" s="22" t="s">
        <v>0</v>
      </c>
      <c r="AH49" s="22" t="s">
        <v>0</v>
      </c>
      <c r="AI49" s="22" t="s">
        <v>0</v>
      </c>
      <c r="AJ49" s="22" t="s">
        <v>0</v>
      </c>
      <c r="AK49" s="22" t="s">
        <v>0</v>
      </c>
    </row>
    <row r="50" spans="1:37">
      <c r="A50" s="27"/>
      <c r="B50" s="27"/>
      <c r="C50" s="22" t="s">
        <v>61</v>
      </c>
      <c r="D50" s="22">
        <v>64.385056</v>
      </c>
      <c r="E50" s="22">
        <v>78.832031</v>
      </c>
      <c r="F50" s="22">
        <v>0.636668</v>
      </c>
      <c r="G50" s="22">
        <v>0.361196</v>
      </c>
      <c r="H50" s="22">
        <v>52.353027</v>
      </c>
      <c r="I50" s="22">
        <v>0.607882</v>
      </c>
      <c r="J50" s="22">
        <v>24811</v>
      </c>
      <c r="K50" s="22">
        <v>0.100436</v>
      </c>
      <c r="L50" s="41" t="s">
        <v>0</v>
      </c>
      <c r="M50" s="41" t="s">
        <v>0</v>
      </c>
      <c r="N50" s="41" t="s">
        <v>0</v>
      </c>
      <c r="O50" s="41" t="s">
        <v>0</v>
      </c>
      <c r="P50" s="42" t="s">
        <v>0</v>
      </c>
      <c r="Q50" s="42" t="s">
        <v>0</v>
      </c>
      <c r="R50" s="42" t="s">
        <v>0</v>
      </c>
      <c r="S50" s="42" t="s">
        <v>0</v>
      </c>
      <c r="T50" s="42" t="s">
        <v>0</v>
      </c>
      <c r="U50" s="42" t="s">
        <v>0</v>
      </c>
      <c r="V50" s="42" t="s">
        <v>0</v>
      </c>
      <c r="W50" s="42" t="s">
        <v>0</v>
      </c>
      <c r="X50" s="42" t="s">
        <v>0</v>
      </c>
      <c r="Y50" s="42" t="s">
        <v>0</v>
      </c>
      <c r="Z50" s="42" t="s">
        <v>0</v>
      </c>
      <c r="AA50" s="42" t="s">
        <v>0</v>
      </c>
      <c r="AB50" s="42" t="s">
        <v>0</v>
      </c>
      <c r="AC50" s="43" t="s">
        <v>0</v>
      </c>
      <c r="AD50" s="22" t="s">
        <v>0</v>
      </c>
      <c r="AE50" s="22" t="s">
        <v>0</v>
      </c>
      <c r="AF50" s="22" t="s">
        <v>0</v>
      </c>
      <c r="AG50" s="22" t="s">
        <v>0</v>
      </c>
      <c r="AH50" s="22" t="s">
        <v>0</v>
      </c>
      <c r="AI50" s="22" t="s">
        <v>0</v>
      </c>
      <c r="AJ50" s="22" t="s">
        <v>0</v>
      </c>
      <c r="AK50" s="22" t="s">
        <v>0</v>
      </c>
    </row>
    <row r="51" spans="1:37">
      <c r="A51" s="27"/>
      <c r="B51" s="27"/>
      <c r="C51" s="22" t="s">
        <v>62</v>
      </c>
      <c r="D51" s="22">
        <v>67.174917</v>
      </c>
      <c r="E51" s="22">
        <v>76.257812</v>
      </c>
      <c r="F51" s="22">
        <v>0.641328</v>
      </c>
      <c r="G51" s="22">
        <v>0.103833</v>
      </c>
      <c r="H51" s="22">
        <v>32.896484</v>
      </c>
      <c r="I51" s="22">
        <v>0.640122</v>
      </c>
      <c r="J51" s="22">
        <v>2650179</v>
      </c>
      <c r="K51" s="22">
        <v>10.115387</v>
      </c>
      <c r="L51" s="41" t="s">
        <v>0</v>
      </c>
      <c r="M51" s="41" t="s">
        <v>0</v>
      </c>
      <c r="N51" s="41" t="s">
        <v>0</v>
      </c>
      <c r="O51" s="41" t="s">
        <v>0</v>
      </c>
      <c r="P51" s="42" t="s">
        <v>0</v>
      </c>
      <c r="Q51" s="42" t="s">
        <v>0</v>
      </c>
      <c r="R51" s="42" t="s">
        <v>0</v>
      </c>
      <c r="S51" s="42" t="s">
        <v>0</v>
      </c>
      <c r="T51" s="42" t="s">
        <v>0</v>
      </c>
      <c r="U51" s="42" t="s">
        <v>0</v>
      </c>
      <c r="V51" s="42" t="s">
        <v>0</v>
      </c>
      <c r="W51" s="42" t="s">
        <v>0</v>
      </c>
      <c r="X51" s="42" t="s">
        <v>0</v>
      </c>
      <c r="Y51" s="42" t="s">
        <v>0</v>
      </c>
      <c r="Z51" s="42" t="s">
        <v>0</v>
      </c>
      <c r="AA51" s="42" t="s">
        <v>0</v>
      </c>
      <c r="AB51" s="42" t="s">
        <v>0</v>
      </c>
      <c r="AC51" s="43" t="s">
        <v>0</v>
      </c>
      <c r="AD51" s="22" t="s">
        <v>0</v>
      </c>
      <c r="AE51" s="22" t="s">
        <v>0</v>
      </c>
      <c r="AF51" s="22" t="s">
        <v>0</v>
      </c>
      <c r="AG51" s="22" t="s">
        <v>0</v>
      </c>
      <c r="AH51" s="22" t="s">
        <v>0</v>
      </c>
      <c r="AI51" s="22" t="s">
        <v>0</v>
      </c>
      <c r="AJ51" s="22" t="s">
        <v>0</v>
      </c>
      <c r="AK51" s="22" t="s">
        <v>0</v>
      </c>
    </row>
    <row r="52" spans="1:37">
      <c r="A52" s="27"/>
      <c r="B52" s="27"/>
      <c r="C52" s="22" t="s">
        <v>63</v>
      </c>
      <c r="D52" s="22">
        <v>41.984463</v>
      </c>
      <c r="E52" s="22">
        <v>1186.143555</v>
      </c>
      <c r="F52" s="22">
        <v>0.644057</v>
      </c>
      <c r="G52" s="22">
        <v>0.167778</v>
      </c>
      <c r="H52" s="22">
        <v>891.251887</v>
      </c>
      <c r="I52" s="22">
        <v>0.658801</v>
      </c>
      <c r="J52" s="22">
        <v>20806</v>
      </c>
      <c r="K52" s="22">
        <v>0.091932</v>
      </c>
      <c r="L52" s="41" t="s">
        <v>0</v>
      </c>
      <c r="M52" s="41" t="s">
        <v>0</v>
      </c>
      <c r="N52" s="41" t="s">
        <v>0</v>
      </c>
      <c r="O52" s="41" t="s">
        <v>0</v>
      </c>
      <c r="P52" s="42" t="s">
        <v>0</v>
      </c>
      <c r="Q52" s="42" t="s">
        <v>0</v>
      </c>
      <c r="R52" s="42" t="s">
        <v>0</v>
      </c>
      <c r="S52" s="42" t="s">
        <v>0</v>
      </c>
      <c r="T52" s="42" t="s">
        <v>0</v>
      </c>
      <c r="U52" s="42" t="s">
        <v>0</v>
      </c>
      <c r="V52" s="42" t="s">
        <v>0</v>
      </c>
      <c r="W52" s="42" t="s">
        <v>0</v>
      </c>
      <c r="X52" s="42" t="s">
        <v>0</v>
      </c>
      <c r="Y52" s="42" t="s">
        <v>0</v>
      </c>
      <c r="Z52" s="42" t="s">
        <v>0</v>
      </c>
      <c r="AA52" s="42" t="s">
        <v>0</v>
      </c>
      <c r="AB52" s="42" t="s">
        <v>0</v>
      </c>
      <c r="AC52" s="43" t="s">
        <v>0</v>
      </c>
      <c r="AD52" s="22" t="s">
        <v>0</v>
      </c>
      <c r="AE52" s="22" t="s">
        <v>0</v>
      </c>
      <c r="AF52" s="22" t="s">
        <v>0</v>
      </c>
      <c r="AG52" s="22" t="s">
        <v>0</v>
      </c>
      <c r="AH52" s="22" t="s">
        <v>0</v>
      </c>
      <c r="AI52" s="22" t="s">
        <v>0</v>
      </c>
      <c r="AJ52" s="22" t="s">
        <v>0</v>
      </c>
      <c r="AK52" s="22" t="s">
        <v>0</v>
      </c>
    </row>
    <row r="53" spans="1:37">
      <c r="A53" s="27"/>
      <c r="B53" s="28"/>
      <c r="C53" s="22" t="s">
        <v>64</v>
      </c>
      <c r="D53" s="22">
        <v>42.907477</v>
      </c>
      <c r="E53" s="22">
        <v>113.271484</v>
      </c>
      <c r="F53" s="22">
        <v>0.654697</v>
      </c>
      <c r="G53" s="22">
        <v>0.662173</v>
      </c>
      <c r="H53" s="22">
        <v>49.024414</v>
      </c>
      <c r="I53" s="22">
        <v>0.659186</v>
      </c>
      <c r="J53" s="22">
        <v>1673166</v>
      </c>
      <c r="K53" s="22">
        <v>6.459098</v>
      </c>
      <c r="L53" s="41" t="s">
        <v>0</v>
      </c>
      <c r="M53" s="41" t="s">
        <v>0</v>
      </c>
      <c r="N53" s="41" t="s">
        <v>0</v>
      </c>
      <c r="O53" s="41" t="s">
        <v>0</v>
      </c>
      <c r="P53" s="42" t="s">
        <v>0</v>
      </c>
      <c r="Q53" s="42" t="s">
        <v>0</v>
      </c>
      <c r="R53" s="42" t="s">
        <v>0</v>
      </c>
      <c r="S53" s="42" t="s">
        <v>0</v>
      </c>
      <c r="T53" s="42" t="s">
        <v>0</v>
      </c>
      <c r="U53" s="42" t="s">
        <v>0</v>
      </c>
      <c r="V53" s="42" t="s">
        <v>0</v>
      </c>
      <c r="W53" s="42" t="s">
        <v>0</v>
      </c>
      <c r="X53" s="42" t="s">
        <v>0</v>
      </c>
      <c r="Y53" s="42" t="s">
        <v>0</v>
      </c>
      <c r="Z53" s="42" t="s">
        <v>0</v>
      </c>
      <c r="AA53" s="42" t="s">
        <v>0</v>
      </c>
      <c r="AB53" s="42" t="s">
        <v>0</v>
      </c>
      <c r="AC53" s="43" t="s">
        <v>0</v>
      </c>
      <c r="AD53" s="22" t="s">
        <v>0</v>
      </c>
      <c r="AE53" s="22" t="s">
        <v>0</v>
      </c>
      <c r="AF53" s="22" t="s">
        <v>0</v>
      </c>
      <c r="AG53" s="22" t="s">
        <v>0</v>
      </c>
      <c r="AH53" s="22" t="s">
        <v>0</v>
      </c>
      <c r="AI53" s="22" t="s">
        <v>0</v>
      </c>
      <c r="AJ53" s="22" t="s">
        <v>0</v>
      </c>
      <c r="AK53" s="22" t="s">
        <v>0</v>
      </c>
    </row>
    <row r="54" spans="1:37">
      <c r="A54" s="27"/>
      <c r="B54" s="22" t="s">
        <v>65</v>
      </c>
      <c r="C54" s="22" t="s">
        <v>66</v>
      </c>
      <c r="D54" s="22">
        <v>75.38445</v>
      </c>
      <c r="E54" s="22">
        <v>2017.892489</v>
      </c>
      <c r="F54" s="22">
        <v>0.675476</v>
      </c>
      <c r="G54" s="22">
        <v>0.026366</v>
      </c>
      <c r="H54" s="22">
        <v>456.2682</v>
      </c>
      <c r="I54" s="22">
        <v>0.603408</v>
      </c>
      <c r="J54" s="22">
        <v>60651831</v>
      </c>
      <c r="K54" s="22">
        <v>231.382286</v>
      </c>
      <c r="L54" s="41" t="s">
        <v>0</v>
      </c>
      <c r="M54" s="41" t="s">
        <v>0</v>
      </c>
      <c r="N54" s="41" t="s">
        <v>0</v>
      </c>
      <c r="O54" s="41" t="s">
        <v>0</v>
      </c>
      <c r="P54" s="42" t="s">
        <v>0</v>
      </c>
      <c r="Q54" s="42" t="s">
        <v>0</v>
      </c>
      <c r="R54" s="42" t="s">
        <v>0</v>
      </c>
      <c r="S54" s="42" t="s">
        <v>0</v>
      </c>
      <c r="T54" s="42" t="s">
        <v>0</v>
      </c>
      <c r="U54" s="42" t="s">
        <v>0</v>
      </c>
      <c r="V54" s="42" t="s">
        <v>0</v>
      </c>
      <c r="W54" s="42" t="s">
        <v>0</v>
      </c>
      <c r="X54" s="42" t="s">
        <v>0</v>
      </c>
      <c r="Y54" s="42" t="s">
        <v>0</v>
      </c>
      <c r="Z54" s="42" t="s">
        <v>0</v>
      </c>
      <c r="AA54" s="42" t="s">
        <v>0</v>
      </c>
      <c r="AB54" s="42" t="s">
        <v>0</v>
      </c>
      <c r="AC54" s="43" t="s">
        <v>0</v>
      </c>
      <c r="AD54" s="22" t="s">
        <v>0</v>
      </c>
      <c r="AE54" s="22" t="s">
        <v>0</v>
      </c>
      <c r="AF54" s="22" t="s">
        <v>0</v>
      </c>
      <c r="AG54" s="22" t="s">
        <v>0</v>
      </c>
      <c r="AH54" s="22" t="s">
        <v>0</v>
      </c>
      <c r="AI54" s="22" t="s">
        <v>0</v>
      </c>
      <c r="AJ54" s="22" t="s">
        <v>0</v>
      </c>
      <c r="AK54" s="22" t="s">
        <v>0</v>
      </c>
    </row>
    <row r="55" spans="1:37">
      <c r="A55" s="27"/>
      <c r="B55" s="28"/>
      <c r="C55" s="22" t="s">
        <v>67</v>
      </c>
      <c r="D55" s="22">
        <v>364.191259</v>
      </c>
      <c r="E55" s="22">
        <v>6992.566251</v>
      </c>
      <c r="F55" s="22">
        <v>0.665539</v>
      </c>
      <c r="G55" s="22">
        <v>0.158462</v>
      </c>
      <c r="H55" s="22">
        <v>1397.531272</v>
      </c>
      <c r="I55" s="22">
        <v>0.670778</v>
      </c>
      <c r="J55" s="22">
        <v>99140448</v>
      </c>
      <c r="K55" s="22">
        <v>378.231888</v>
      </c>
      <c r="L55" s="41" t="s">
        <v>0</v>
      </c>
      <c r="M55" s="41" t="s">
        <v>0</v>
      </c>
      <c r="N55" s="41" t="s">
        <v>0</v>
      </c>
      <c r="O55" s="41" t="s">
        <v>0</v>
      </c>
      <c r="P55" s="42" t="s">
        <v>0</v>
      </c>
      <c r="Q55" s="42" t="s">
        <v>0</v>
      </c>
      <c r="R55" s="42" t="s">
        <v>0</v>
      </c>
      <c r="S55" s="42" t="s">
        <v>0</v>
      </c>
      <c r="T55" s="42" t="s">
        <v>0</v>
      </c>
      <c r="U55" s="42" t="s">
        <v>0</v>
      </c>
      <c r="V55" s="42" t="s">
        <v>0</v>
      </c>
      <c r="W55" s="42" t="s">
        <v>0</v>
      </c>
      <c r="X55" s="42" t="s">
        <v>0</v>
      </c>
      <c r="Y55" s="42" t="s">
        <v>0</v>
      </c>
      <c r="Z55" s="42" t="s">
        <v>0</v>
      </c>
      <c r="AA55" s="42" t="s">
        <v>0</v>
      </c>
      <c r="AB55" s="42" t="s">
        <v>0</v>
      </c>
      <c r="AC55" s="43" t="s">
        <v>0</v>
      </c>
      <c r="AD55" s="22" t="s">
        <v>0</v>
      </c>
      <c r="AE55" s="22" t="s">
        <v>0</v>
      </c>
      <c r="AF55" s="22" t="s">
        <v>0</v>
      </c>
      <c r="AG55" s="22" t="s">
        <v>0</v>
      </c>
      <c r="AH55" s="22" t="s">
        <v>0</v>
      </c>
      <c r="AI55" s="22" t="s">
        <v>0</v>
      </c>
      <c r="AJ55" s="22" t="s">
        <v>0</v>
      </c>
      <c r="AK55" s="22" t="s">
        <v>0</v>
      </c>
    </row>
    <row r="56" spans="1:37">
      <c r="A56" s="27"/>
      <c r="B56" s="22" t="s">
        <v>68</v>
      </c>
      <c r="C56" s="22" t="s">
        <v>69</v>
      </c>
      <c r="D56" s="22">
        <v>2.004883</v>
      </c>
      <c r="E56" s="22">
        <v>415.748713</v>
      </c>
      <c r="F56" s="22">
        <v>0.563516</v>
      </c>
      <c r="G56" s="22">
        <v>7.711991</v>
      </c>
      <c r="H56" s="22">
        <v>1090.16171</v>
      </c>
      <c r="I56" s="22">
        <v>0.616225</v>
      </c>
      <c r="J56" s="22">
        <v>205292928</v>
      </c>
      <c r="K56" s="22">
        <v>391.682762</v>
      </c>
      <c r="L56" s="41" t="s">
        <v>0</v>
      </c>
      <c r="M56" s="41" t="s">
        <v>0</v>
      </c>
      <c r="N56" s="41" t="s">
        <v>0</v>
      </c>
      <c r="O56" s="41" t="s">
        <v>0</v>
      </c>
      <c r="P56" s="42" t="s">
        <v>0</v>
      </c>
      <c r="Q56" s="42" t="s">
        <v>0</v>
      </c>
      <c r="R56" s="42" t="s">
        <v>0</v>
      </c>
      <c r="S56" s="42" t="s">
        <v>0</v>
      </c>
      <c r="T56" s="42" t="s">
        <v>0</v>
      </c>
      <c r="U56" s="42" t="s">
        <v>0</v>
      </c>
      <c r="V56" s="42" t="s">
        <v>0</v>
      </c>
      <c r="W56" s="42" t="s">
        <v>0</v>
      </c>
      <c r="X56" s="42" t="s">
        <v>0</v>
      </c>
      <c r="Y56" s="42" t="s">
        <v>0</v>
      </c>
      <c r="Z56" s="42" t="s">
        <v>0</v>
      </c>
      <c r="AA56" s="42" t="s">
        <v>0</v>
      </c>
      <c r="AB56" s="42" t="s">
        <v>0</v>
      </c>
      <c r="AC56" s="43" t="s">
        <v>0</v>
      </c>
      <c r="AD56" s="22" t="s">
        <v>0</v>
      </c>
      <c r="AE56" s="22" t="s">
        <v>0</v>
      </c>
      <c r="AF56" s="22" t="s">
        <v>0</v>
      </c>
      <c r="AG56" s="22" t="s">
        <v>0</v>
      </c>
      <c r="AH56" s="22" t="s">
        <v>0</v>
      </c>
      <c r="AI56" s="22" t="s">
        <v>0</v>
      </c>
      <c r="AJ56" s="22" t="s">
        <v>0</v>
      </c>
      <c r="AK56" s="22" t="s">
        <v>0</v>
      </c>
    </row>
    <row r="57" spans="1:37">
      <c r="A57" s="27"/>
      <c r="B57" s="27"/>
      <c r="C57" s="22" t="s">
        <v>70</v>
      </c>
      <c r="D57" s="22">
        <v>0.119417</v>
      </c>
      <c r="E57" s="22">
        <v>14.802557</v>
      </c>
      <c r="F57" s="22">
        <v>0.888111</v>
      </c>
      <c r="G57" s="22">
        <v>0.153256</v>
      </c>
      <c r="H57" s="22">
        <v>3457.923739</v>
      </c>
      <c r="I57" s="22">
        <v>0.899572</v>
      </c>
      <c r="J57" s="22">
        <v>1844714</v>
      </c>
      <c r="K57" s="22">
        <v>7.076761</v>
      </c>
      <c r="L57" s="41" t="s">
        <v>0</v>
      </c>
      <c r="M57" s="41" t="s">
        <v>0</v>
      </c>
      <c r="N57" s="41" t="s">
        <v>0</v>
      </c>
      <c r="O57" s="41" t="s">
        <v>0</v>
      </c>
      <c r="P57" s="42" t="s">
        <v>0</v>
      </c>
      <c r="Q57" s="42" t="s">
        <v>0</v>
      </c>
      <c r="R57" s="42" t="s">
        <v>0</v>
      </c>
      <c r="S57" s="42" t="s">
        <v>0</v>
      </c>
      <c r="T57" s="42" t="s">
        <v>0</v>
      </c>
      <c r="U57" s="42" t="s">
        <v>0</v>
      </c>
      <c r="V57" s="42" t="s">
        <v>0</v>
      </c>
      <c r="W57" s="42" t="s">
        <v>0</v>
      </c>
      <c r="X57" s="42" t="s">
        <v>0</v>
      </c>
      <c r="Y57" s="42" t="s">
        <v>0</v>
      </c>
      <c r="Z57" s="42" t="s">
        <v>0</v>
      </c>
      <c r="AA57" s="42" t="s">
        <v>0</v>
      </c>
      <c r="AB57" s="42" t="s">
        <v>0</v>
      </c>
      <c r="AC57" s="43" t="s">
        <v>0</v>
      </c>
      <c r="AD57" s="22" t="s">
        <v>0</v>
      </c>
      <c r="AE57" s="22" t="s">
        <v>0</v>
      </c>
      <c r="AF57" s="22" t="s">
        <v>0</v>
      </c>
      <c r="AG57" s="22" t="s">
        <v>0</v>
      </c>
      <c r="AH57" s="22" t="s">
        <v>0</v>
      </c>
      <c r="AI57" s="22" t="s">
        <v>0</v>
      </c>
      <c r="AJ57" s="22" t="s">
        <v>0</v>
      </c>
      <c r="AK57" s="22" t="s">
        <v>0</v>
      </c>
    </row>
    <row r="58" spans="1:37">
      <c r="A58" s="27"/>
      <c r="B58" s="27"/>
      <c r="C58" s="22" t="s">
        <v>71</v>
      </c>
      <c r="D58" s="22">
        <v>337.376016</v>
      </c>
      <c r="E58" s="22">
        <v>1922.367676</v>
      </c>
      <c r="F58" s="22">
        <v>0.664095</v>
      </c>
      <c r="G58" s="22">
        <v>1.21613</v>
      </c>
      <c r="H58" s="22">
        <v>1900.145863</v>
      </c>
      <c r="I58" s="22">
        <v>0.639464</v>
      </c>
      <c r="J58" s="22">
        <v>341248520</v>
      </c>
      <c r="K58" s="22">
        <v>1321.389574</v>
      </c>
      <c r="L58" s="41" t="s">
        <v>0</v>
      </c>
      <c r="M58" s="41" t="s">
        <v>0</v>
      </c>
      <c r="N58" s="41" t="s">
        <v>0</v>
      </c>
      <c r="O58" s="41" t="s">
        <v>0</v>
      </c>
      <c r="P58" s="42" t="s">
        <v>0</v>
      </c>
      <c r="Q58" s="42" t="s">
        <v>0</v>
      </c>
      <c r="R58" s="42" t="s">
        <v>0</v>
      </c>
      <c r="S58" s="42" t="s">
        <v>0</v>
      </c>
      <c r="T58" s="42" t="s">
        <v>0</v>
      </c>
      <c r="U58" s="42" t="s">
        <v>0</v>
      </c>
      <c r="V58" s="42" t="s">
        <v>0</v>
      </c>
      <c r="W58" s="42" t="s">
        <v>0</v>
      </c>
      <c r="X58" s="42" t="s">
        <v>0</v>
      </c>
      <c r="Y58" s="42" t="s">
        <v>0</v>
      </c>
      <c r="Z58" s="42" t="s">
        <v>0</v>
      </c>
      <c r="AA58" s="42" t="s">
        <v>0</v>
      </c>
      <c r="AB58" s="42" t="s">
        <v>0</v>
      </c>
      <c r="AC58" s="43" t="s">
        <v>0</v>
      </c>
      <c r="AD58" s="22" t="s">
        <v>0</v>
      </c>
      <c r="AE58" s="22" t="s">
        <v>0</v>
      </c>
      <c r="AF58" s="22" t="s">
        <v>0</v>
      </c>
      <c r="AG58" s="22" t="s">
        <v>0</v>
      </c>
      <c r="AH58" s="22" t="s">
        <v>0</v>
      </c>
      <c r="AI58" s="22" t="s">
        <v>0</v>
      </c>
      <c r="AJ58" s="22" t="s">
        <v>0</v>
      </c>
      <c r="AK58" s="22" t="s">
        <v>0</v>
      </c>
    </row>
    <row r="59" spans="1:37">
      <c r="A59" s="27"/>
      <c r="B59" s="28"/>
      <c r="C59" s="22" t="s">
        <v>72</v>
      </c>
      <c r="D59" s="22">
        <v>16.070511</v>
      </c>
      <c r="E59" s="22">
        <v>143.505371</v>
      </c>
      <c r="F59" s="22">
        <v>0.660434</v>
      </c>
      <c r="G59" s="22">
        <v>0.020306</v>
      </c>
      <c r="H59" s="22">
        <v>102.359286</v>
      </c>
      <c r="I59" s="22">
        <v>0.686742</v>
      </c>
      <c r="J59" s="22">
        <v>401624</v>
      </c>
      <c r="K59" s="22">
        <v>1.57654</v>
      </c>
      <c r="L59" s="41" t="s">
        <v>0</v>
      </c>
      <c r="M59" s="41" t="s">
        <v>0</v>
      </c>
      <c r="N59" s="41" t="s">
        <v>0</v>
      </c>
      <c r="O59" s="41" t="s">
        <v>0</v>
      </c>
      <c r="P59" s="42" t="s">
        <v>0</v>
      </c>
      <c r="Q59" s="42" t="s">
        <v>0</v>
      </c>
      <c r="R59" s="42" t="s">
        <v>0</v>
      </c>
      <c r="S59" s="42" t="s">
        <v>0</v>
      </c>
      <c r="T59" s="42" t="s">
        <v>0</v>
      </c>
      <c r="U59" s="42" t="s">
        <v>0</v>
      </c>
      <c r="V59" s="42" t="s">
        <v>0</v>
      </c>
      <c r="W59" s="42" t="s">
        <v>0</v>
      </c>
      <c r="X59" s="42" t="s">
        <v>0</v>
      </c>
      <c r="Y59" s="42" t="s">
        <v>0</v>
      </c>
      <c r="Z59" s="42" t="s">
        <v>0</v>
      </c>
      <c r="AA59" s="42" t="s">
        <v>0</v>
      </c>
      <c r="AB59" s="42" t="s">
        <v>0</v>
      </c>
      <c r="AC59" s="43" t="s">
        <v>0</v>
      </c>
      <c r="AD59" s="22" t="s">
        <v>0</v>
      </c>
      <c r="AE59" s="22" t="s">
        <v>0</v>
      </c>
      <c r="AF59" s="22" t="s">
        <v>0</v>
      </c>
      <c r="AG59" s="22" t="s">
        <v>0</v>
      </c>
      <c r="AH59" s="22" t="s">
        <v>0</v>
      </c>
      <c r="AI59" s="22" t="s">
        <v>0</v>
      </c>
      <c r="AJ59" s="22" t="s">
        <v>0</v>
      </c>
      <c r="AK59" s="22" t="s">
        <v>0</v>
      </c>
    </row>
    <row r="60" spans="1:37">
      <c r="A60" s="28"/>
      <c r="B60" s="22" t="s">
        <v>73</v>
      </c>
      <c r="C60" s="22" t="s">
        <v>74</v>
      </c>
      <c r="D60" s="22">
        <v>1169.333568</v>
      </c>
      <c r="E60" s="22">
        <v>10693.183882</v>
      </c>
      <c r="F60" s="22">
        <v>0.65994</v>
      </c>
      <c r="G60" s="22">
        <v>32.827962</v>
      </c>
      <c r="H60" s="22">
        <v>1280.727983</v>
      </c>
      <c r="I60" s="22">
        <v>0.622864</v>
      </c>
      <c r="J60" s="22">
        <v>124750830</v>
      </c>
      <c r="K60" s="22">
        <v>475.976294</v>
      </c>
      <c r="L60" s="41" t="s">
        <v>0</v>
      </c>
      <c r="M60" s="41" t="s">
        <v>0</v>
      </c>
      <c r="N60" s="41" t="s">
        <v>0</v>
      </c>
      <c r="O60" s="41" t="s">
        <v>0</v>
      </c>
      <c r="P60" s="42" t="s">
        <v>0</v>
      </c>
      <c r="Q60" s="42" t="s">
        <v>0</v>
      </c>
      <c r="R60" s="42" t="s">
        <v>0</v>
      </c>
      <c r="S60" s="42" t="s">
        <v>0</v>
      </c>
      <c r="T60" s="42" t="s">
        <v>0</v>
      </c>
      <c r="U60" s="42" t="s">
        <v>0</v>
      </c>
      <c r="V60" s="42" t="s">
        <v>0</v>
      </c>
      <c r="W60" s="42" t="s">
        <v>0</v>
      </c>
      <c r="X60" s="42" t="s">
        <v>0</v>
      </c>
      <c r="Y60" s="42" t="s">
        <v>0</v>
      </c>
      <c r="Z60" s="42" t="s">
        <v>0</v>
      </c>
      <c r="AA60" s="42" t="s">
        <v>0</v>
      </c>
      <c r="AB60" s="42" t="s">
        <v>0</v>
      </c>
      <c r="AC60" s="43" t="s">
        <v>0</v>
      </c>
      <c r="AD60" s="22" t="s">
        <v>0</v>
      </c>
      <c r="AE60" s="22" t="s">
        <v>0</v>
      </c>
      <c r="AF60" s="22" t="s">
        <v>0</v>
      </c>
      <c r="AG60" s="22" t="s">
        <v>0</v>
      </c>
      <c r="AH60" s="22" t="s">
        <v>0</v>
      </c>
      <c r="AI60" s="22" t="s">
        <v>0</v>
      </c>
      <c r="AJ60" s="22" t="s">
        <v>0</v>
      </c>
      <c r="AK60" s="22" t="s">
        <v>0</v>
      </c>
    </row>
    <row r="61" spans="1:37">
      <c r="A61" s="47" t="s">
        <v>0</v>
      </c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44"/>
    </row>
    <row r="62" spans="1:37">
      <c r="A62" s="47" t="s">
        <v>75</v>
      </c>
      <c r="B62" s="25" t="s">
        <v>0</v>
      </c>
      <c r="C62" s="22" t="s">
        <v>0</v>
      </c>
      <c r="D62" s="22" t="s">
        <v>84</v>
      </c>
      <c r="E62" s="22" t="s">
        <v>85</v>
      </c>
      <c r="F62" s="22" t="s">
        <v>86</v>
      </c>
      <c r="G62" s="22" t="s">
        <v>87</v>
      </c>
      <c r="H62" s="22" t="s">
        <v>88</v>
      </c>
      <c r="I62" s="22" t="s">
        <v>89</v>
      </c>
      <c r="J62" s="22" t="s">
        <v>91</v>
      </c>
      <c r="K62" s="22" t="s">
        <v>92</v>
      </c>
      <c r="L62" s="41" t="s">
        <v>0</v>
      </c>
      <c r="M62" s="41" t="s">
        <v>0</v>
      </c>
      <c r="N62" s="41" t="s">
        <v>0</v>
      </c>
      <c r="O62" s="41" t="s">
        <v>0</v>
      </c>
      <c r="P62" s="42" t="s">
        <v>0</v>
      </c>
      <c r="Q62" s="42" t="s">
        <v>0</v>
      </c>
      <c r="R62" s="42" t="s">
        <v>0</v>
      </c>
      <c r="S62" s="42" t="s">
        <v>0</v>
      </c>
      <c r="T62" s="42" t="s">
        <v>0</v>
      </c>
      <c r="U62" s="42" t="s">
        <v>0</v>
      </c>
      <c r="V62" s="42" t="s">
        <v>0</v>
      </c>
      <c r="W62" s="42" t="s">
        <v>0</v>
      </c>
      <c r="X62" s="42" t="s">
        <v>0</v>
      </c>
      <c r="Y62" s="42" t="s">
        <v>0</v>
      </c>
      <c r="Z62" s="42" t="s">
        <v>0</v>
      </c>
      <c r="AA62" s="42" t="s">
        <v>0</v>
      </c>
      <c r="AB62" s="42" t="s">
        <v>0</v>
      </c>
      <c r="AC62" s="43" t="s">
        <v>0</v>
      </c>
      <c r="AD62" s="22" t="s">
        <v>0</v>
      </c>
      <c r="AE62" s="22" t="s">
        <v>0</v>
      </c>
      <c r="AF62" s="22" t="s">
        <v>0</v>
      </c>
      <c r="AG62" s="22" t="s">
        <v>0</v>
      </c>
      <c r="AH62" s="22" t="s">
        <v>0</v>
      </c>
      <c r="AI62" s="22" t="s">
        <v>0</v>
      </c>
      <c r="AJ62" s="22" t="s">
        <v>0</v>
      </c>
      <c r="AK62" s="22" t="s">
        <v>0</v>
      </c>
    </row>
    <row r="63" spans="1:37">
      <c r="A63" s="27"/>
      <c r="B63" s="22" t="s">
        <v>33</v>
      </c>
      <c r="C63" s="22" t="s">
        <v>34</v>
      </c>
      <c r="D63" s="48">
        <v>1.118723</v>
      </c>
      <c r="E63" s="23" t="s">
        <v>6</v>
      </c>
      <c r="F63" s="23">
        <v>1.011345</v>
      </c>
      <c r="G63" s="23">
        <v>0.02897</v>
      </c>
      <c r="H63" s="23" t="s">
        <v>6</v>
      </c>
      <c r="I63" s="23">
        <v>0.339376</v>
      </c>
      <c r="J63" s="23" t="s">
        <v>6</v>
      </c>
      <c r="K63" s="23">
        <v>1.031385</v>
      </c>
      <c r="L63" s="41" t="s">
        <v>0</v>
      </c>
      <c r="M63" s="41" t="s">
        <v>0</v>
      </c>
      <c r="N63" s="41" t="s">
        <v>0</v>
      </c>
      <c r="O63" s="41" t="s">
        <v>0</v>
      </c>
      <c r="P63" s="42" t="s">
        <v>0</v>
      </c>
      <c r="Q63" s="42" t="s">
        <v>0</v>
      </c>
      <c r="R63" s="42" t="s">
        <v>0</v>
      </c>
      <c r="S63" s="42" t="s">
        <v>0</v>
      </c>
      <c r="T63" s="42" t="s">
        <v>0</v>
      </c>
      <c r="U63" s="42" t="s">
        <v>0</v>
      </c>
      <c r="V63" s="42" t="s">
        <v>0</v>
      </c>
      <c r="W63" s="42" t="s">
        <v>0</v>
      </c>
      <c r="X63" s="42" t="s">
        <v>0</v>
      </c>
      <c r="Y63" s="42" t="s">
        <v>0</v>
      </c>
      <c r="Z63" s="42" t="s">
        <v>0</v>
      </c>
      <c r="AA63" s="42" t="s">
        <v>0</v>
      </c>
      <c r="AB63" s="42" t="s">
        <v>0</v>
      </c>
      <c r="AC63" s="43" t="s">
        <v>0</v>
      </c>
      <c r="AD63" s="22" t="s">
        <v>0</v>
      </c>
      <c r="AE63" s="22" t="s">
        <v>0</v>
      </c>
      <c r="AF63" s="22" t="s">
        <v>0</v>
      </c>
      <c r="AG63" s="22" t="s">
        <v>0</v>
      </c>
      <c r="AH63" s="22" t="s">
        <v>0</v>
      </c>
      <c r="AI63" s="22" t="s">
        <v>0</v>
      </c>
      <c r="AJ63" s="22" t="s">
        <v>0</v>
      </c>
      <c r="AK63" s="22" t="s">
        <v>0</v>
      </c>
    </row>
    <row r="64" spans="1:37">
      <c r="A64" s="27"/>
      <c r="B64" s="27"/>
      <c r="C64" s="22" t="s">
        <v>35</v>
      </c>
      <c r="D64" s="23">
        <v>0.580776</v>
      </c>
      <c r="E64" s="23" t="s">
        <v>6</v>
      </c>
      <c r="F64" s="23">
        <v>0.608071</v>
      </c>
      <c r="G64" s="23">
        <v>0.032449</v>
      </c>
      <c r="H64" s="23" t="s">
        <v>6</v>
      </c>
      <c r="I64" s="23">
        <v>0.2869</v>
      </c>
      <c r="J64" s="23" t="s">
        <v>6</v>
      </c>
      <c r="K64" s="23">
        <v>0.842876</v>
      </c>
      <c r="L64" s="41" t="s">
        <v>0</v>
      </c>
      <c r="M64" s="41" t="s">
        <v>0</v>
      </c>
      <c r="N64" s="41" t="s">
        <v>0</v>
      </c>
      <c r="O64" s="41" t="s">
        <v>0</v>
      </c>
      <c r="P64" s="42" t="s">
        <v>0</v>
      </c>
      <c r="Q64" s="42" t="s">
        <v>0</v>
      </c>
      <c r="R64" s="42" t="s">
        <v>0</v>
      </c>
      <c r="S64" s="42" t="s">
        <v>0</v>
      </c>
      <c r="T64" s="42" t="s">
        <v>0</v>
      </c>
      <c r="U64" s="42" t="s">
        <v>0</v>
      </c>
      <c r="V64" s="42" t="s">
        <v>0</v>
      </c>
      <c r="W64" s="42" t="s">
        <v>0</v>
      </c>
      <c r="X64" s="42" t="s">
        <v>0</v>
      </c>
      <c r="Y64" s="42" t="s">
        <v>0</v>
      </c>
      <c r="Z64" s="42" t="s">
        <v>0</v>
      </c>
      <c r="AA64" s="42" t="s">
        <v>0</v>
      </c>
      <c r="AB64" s="42" t="s">
        <v>0</v>
      </c>
      <c r="AC64" s="43" t="s">
        <v>0</v>
      </c>
      <c r="AD64" s="22" t="s">
        <v>0</v>
      </c>
      <c r="AE64" s="22" t="s">
        <v>0</v>
      </c>
      <c r="AF64" s="22" t="s">
        <v>0</v>
      </c>
      <c r="AG64" s="22" t="s">
        <v>0</v>
      </c>
      <c r="AH64" s="22" t="s">
        <v>0</v>
      </c>
      <c r="AI64" s="22" t="s">
        <v>0</v>
      </c>
      <c r="AJ64" s="22" t="s">
        <v>0</v>
      </c>
      <c r="AK64" s="22" t="s">
        <v>0</v>
      </c>
    </row>
    <row r="65" spans="1:37">
      <c r="A65" s="27"/>
      <c r="B65" s="28"/>
      <c r="C65" s="22" t="s">
        <v>36</v>
      </c>
      <c r="D65" s="23">
        <v>15.266539</v>
      </c>
      <c r="E65" s="23" t="s">
        <v>6</v>
      </c>
      <c r="F65" s="23">
        <v>1.313625</v>
      </c>
      <c r="G65" s="23">
        <v>1.450806</v>
      </c>
      <c r="H65" s="23" t="s">
        <v>6</v>
      </c>
      <c r="I65" s="23">
        <v>1.217894</v>
      </c>
      <c r="J65" s="23" t="s">
        <v>6</v>
      </c>
      <c r="K65" s="23">
        <v>114.074265</v>
      </c>
      <c r="L65" s="41" t="s">
        <v>0</v>
      </c>
      <c r="M65" s="41" t="s">
        <v>0</v>
      </c>
      <c r="N65" s="41" t="s">
        <v>0</v>
      </c>
      <c r="O65" s="41" t="s">
        <v>0</v>
      </c>
      <c r="P65" s="42" t="s">
        <v>0</v>
      </c>
      <c r="Q65" s="42" t="s">
        <v>0</v>
      </c>
      <c r="R65" s="42" t="s">
        <v>0</v>
      </c>
      <c r="S65" s="42" t="s">
        <v>0</v>
      </c>
      <c r="T65" s="42" t="s">
        <v>0</v>
      </c>
      <c r="U65" s="42" t="s">
        <v>0</v>
      </c>
      <c r="V65" s="42" t="s">
        <v>0</v>
      </c>
      <c r="W65" s="42" t="s">
        <v>0</v>
      </c>
      <c r="X65" s="42" t="s">
        <v>0</v>
      </c>
      <c r="Y65" s="42" t="s">
        <v>0</v>
      </c>
      <c r="Z65" s="42" t="s">
        <v>0</v>
      </c>
      <c r="AA65" s="42" t="s">
        <v>0</v>
      </c>
      <c r="AB65" s="42" t="s">
        <v>0</v>
      </c>
      <c r="AC65" s="43" t="s">
        <v>0</v>
      </c>
      <c r="AD65" s="22" t="s">
        <v>0</v>
      </c>
      <c r="AE65" s="22" t="s">
        <v>0</v>
      </c>
      <c r="AF65" s="22" t="s">
        <v>0</v>
      </c>
      <c r="AG65" s="22" t="s">
        <v>0</v>
      </c>
      <c r="AH65" s="22" t="s">
        <v>0</v>
      </c>
      <c r="AI65" s="22" t="s">
        <v>0</v>
      </c>
      <c r="AJ65" s="22" t="s">
        <v>0</v>
      </c>
      <c r="AK65" s="22" t="s">
        <v>0</v>
      </c>
    </row>
    <row r="66" spans="1:37">
      <c r="A66" s="27"/>
      <c r="B66" s="22" t="s">
        <v>37</v>
      </c>
      <c r="C66" s="22" t="s">
        <v>38</v>
      </c>
      <c r="D66" s="23">
        <v>61.400711</v>
      </c>
      <c r="E66" s="23" t="s">
        <v>6</v>
      </c>
      <c r="F66" s="23">
        <v>0.658439</v>
      </c>
      <c r="G66" s="23">
        <v>5.645346</v>
      </c>
      <c r="H66" s="23" t="s">
        <v>6</v>
      </c>
      <c r="I66" s="23">
        <v>0.650489</v>
      </c>
      <c r="J66" s="23" t="s">
        <v>6</v>
      </c>
      <c r="K66" s="23">
        <v>205.45</v>
      </c>
      <c r="L66" s="41" t="s">
        <v>0</v>
      </c>
      <c r="M66" s="41" t="s">
        <v>0</v>
      </c>
      <c r="N66" s="41" t="s">
        <v>0</v>
      </c>
      <c r="O66" s="41" t="s">
        <v>0</v>
      </c>
      <c r="P66" s="42" t="s">
        <v>0</v>
      </c>
      <c r="Q66" s="42" t="s">
        <v>0</v>
      </c>
      <c r="R66" s="42" t="s">
        <v>0</v>
      </c>
      <c r="S66" s="42" t="s">
        <v>0</v>
      </c>
      <c r="T66" s="42" t="s">
        <v>0</v>
      </c>
      <c r="U66" s="42" t="s">
        <v>0</v>
      </c>
      <c r="V66" s="42" t="s">
        <v>0</v>
      </c>
      <c r="W66" s="42" t="s">
        <v>0</v>
      </c>
      <c r="X66" s="42" t="s">
        <v>0</v>
      </c>
      <c r="Y66" s="42" t="s">
        <v>0</v>
      </c>
      <c r="Z66" s="42" t="s">
        <v>0</v>
      </c>
      <c r="AA66" s="42" t="s">
        <v>0</v>
      </c>
      <c r="AB66" s="42" t="s">
        <v>0</v>
      </c>
      <c r="AC66" s="43" t="s">
        <v>0</v>
      </c>
      <c r="AD66" s="22" t="s">
        <v>0</v>
      </c>
      <c r="AE66" s="22" t="s">
        <v>0</v>
      </c>
      <c r="AF66" s="22" t="s">
        <v>0</v>
      </c>
      <c r="AG66" s="22" t="s">
        <v>0</v>
      </c>
      <c r="AH66" s="22" t="s">
        <v>0</v>
      </c>
      <c r="AI66" s="22" t="s">
        <v>0</v>
      </c>
      <c r="AJ66" s="22" t="s">
        <v>0</v>
      </c>
      <c r="AK66" s="22" t="s">
        <v>0</v>
      </c>
    </row>
    <row r="67" spans="1:37">
      <c r="A67" s="27"/>
      <c r="B67" s="27"/>
      <c r="C67" s="22" t="s">
        <v>39</v>
      </c>
      <c r="D67" s="23">
        <v>2.130598</v>
      </c>
      <c r="E67" s="23" t="s">
        <v>6</v>
      </c>
      <c r="F67" s="23">
        <v>0.498245</v>
      </c>
      <c r="G67" s="23">
        <v>0.058875</v>
      </c>
      <c r="H67" s="23" t="s">
        <v>6</v>
      </c>
      <c r="I67" s="23">
        <v>0.092941</v>
      </c>
      <c r="J67" s="23" t="s">
        <v>6</v>
      </c>
      <c r="K67" s="23">
        <v>3.401301</v>
      </c>
      <c r="L67" s="41" t="s">
        <v>0</v>
      </c>
      <c r="M67" s="41" t="s">
        <v>0</v>
      </c>
      <c r="N67" s="41" t="s">
        <v>0</v>
      </c>
      <c r="O67" s="41" t="s">
        <v>0</v>
      </c>
      <c r="P67" s="42" t="s">
        <v>0</v>
      </c>
      <c r="Q67" s="42" t="s">
        <v>0</v>
      </c>
      <c r="R67" s="42" t="s">
        <v>0</v>
      </c>
      <c r="S67" s="42" t="s">
        <v>0</v>
      </c>
      <c r="T67" s="42" t="s">
        <v>0</v>
      </c>
      <c r="U67" s="42" t="s">
        <v>0</v>
      </c>
      <c r="V67" s="42" t="s">
        <v>0</v>
      </c>
      <c r="W67" s="42" t="s">
        <v>0</v>
      </c>
      <c r="X67" s="42" t="s">
        <v>0</v>
      </c>
      <c r="Y67" s="42" t="s">
        <v>0</v>
      </c>
      <c r="Z67" s="42" t="s">
        <v>0</v>
      </c>
      <c r="AA67" s="42" t="s">
        <v>0</v>
      </c>
      <c r="AB67" s="42" t="s">
        <v>0</v>
      </c>
      <c r="AC67" s="43" t="s">
        <v>0</v>
      </c>
      <c r="AD67" s="22" t="s">
        <v>0</v>
      </c>
      <c r="AE67" s="22" t="s">
        <v>0</v>
      </c>
      <c r="AF67" s="22" t="s">
        <v>0</v>
      </c>
      <c r="AG67" s="22" t="s">
        <v>0</v>
      </c>
      <c r="AH67" s="22" t="s">
        <v>0</v>
      </c>
      <c r="AI67" s="22" t="s">
        <v>0</v>
      </c>
      <c r="AJ67" s="22" t="s">
        <v>0</v>
      </c>
      <c r="AK67" s="22" t="s">
        <v>0</v>
      </c>
    </row>
    <row r="68" spans="1:37">
      <c r="A68" s="27"/>
      <c r="B68" s="27"/>
      <c r="C68" s="22" t="s">
        <v>40</v>
      </c>
      <c r="D68" s="23">
        <v>814.219923</v>
      </c>
      <c r="E68" s="23" t="s">
        <v>6</v>
      </c>
      <c r="F68" s="23">
        <v>1.319384</v>
      </c>
      <c r="G68" s="23">
        <v>0.852799</v>
      </c>
      <c r="H68" s="23" t="s">
        <v>6</v>
      </c>
      <c r="I68" s="23">
        <v>0.640069</v>
      </c>
      <c r="J68" s="23" t="s">
        <v>6</v>
      </c>
      <c r="K68" s="23">
        <v>2.198</v>
      </c>
      <c r="L68" s="41" t="s">
        <v>0</v>
      </c>
      <c r="M68" s="41" t="s">
        <v>0</v>
      </c>
      <c r="N68" s="41" t="s">
        <v>0</v>
      </c>
      <c r="O68" s="41" t="s">
        <v>0</v>
      </c>
      <c r="P68" s="42" t="s">
        <v>0</v>
      </c>
      <c r="Q68" s="42" t="s">
        <v>0</v>
      </c>
      <c r="R68" s="42" t="s">
        <v>0</v>
      </c>
      <c r="S68" s="42" t="s">
        <v>0</v>
      </c>
      <c r="T68" s="42" t="s">
        <v>0</v>
      </c>
      <c r="U68" s="42" t="s">
        <v>0</v>
      </c>
      <c r="V68" s="42" t="s">
        <v>0</v>
      </c>
      <c r="W68" s="42" t="s">
        <v>0</v>
      </c>
      <c r="X68" s="42" t="s">
        <v>0</v>
      </c>
      <c r="Y68" s="42" t="s">
        <v>0</v>
      </c>
      <c r="Z68" s="42" t="s">
        <v>0</v>
      </c>
      <c r="AA68" s="42" t="s">
        <v>0</v>
      </c>
      <c r="AB68" s="42" t="s">
        <v>0</v>
      </c>
      <c r="AC68" s="43" t="s">
        <v>0</v>
      </c>
      <c r="AD68" s="22" t="s">
        <v>0</v>
      </c>
      <c r="AE68" s="22" t="s">
        <v>0</v>
      </c>
      <c r="AF68" s="22" t="s">
        <v>0</v>
      </c>
      <c r="AG68" s="22" t="s">
        <v>0</v>
      </c>
      <c r="AH68" s="22" t="s">
        <v>0</v>
      </c>
      <c r="AI68" s="22" t="s">
        <v>0</v>
      </c>
      <c r="AJ68" s="22" t="s">
        <v>0</v>
      </c>
      <c r="AK68" s="22" t="s">
        <v>0</v>
      </c>
    </row>
    <row r="69" spans="1:37">
      <c r="A69" s="27"/>
      <c r="B69" s="27"/>
      <c r="C69" s="22" t="s">
        <v>41</v>
      </c>
      <c r="D69" s="23">
        <v>22.871732</v>
      </c>
      <c r="E69" s="23" t="s">
        <v>6</v>
      </c>
      <c r="F69" s="23">
        <v>2.019634</v>
      </c>
      <c r="G69" s="23">
        <v>2.379035</v>
      </c>
      <c r="H69" s="23" t="s">
        <v>6</v>
      </c>
      <c r="I69" s="23">
        <v>1.668681</v>
      </c>
      <c r="J69" s="23" t="s">
        <v>6</v>
      </c>
      <c r="K69" s="23">
        <v>214.274855</v>
      </c>
      <c r="L69" s="41" t="s">
        <v>0</v>
      </c>
      <c r="M69" s="41" t="s">
        <v>0</v>
      </c>
      <c r="N69" s="41" t="s">
        <v>0</v>
      </c>
      <c r="O69" s="41" t="s">
        <v>0</v>
      </c>
      <c r="P69" s="42" t="s">
        <v>0</v>
      </c>
      <c r="Q69" s="42" t="s">
        <v>0</v>
      </c>
      <c r="R69" s="42" t="s">
        <v>0</v>
      </c>
      <c r="S69" s="42" t="s">
        <v>0</v>
      </c>
      <c r="T69" s="42" t="s">
        <v>0</v>
      </c>
      <c r="U69" s="42" t="s">
        <v>0</v>
      </c>
      <c r="V69" s="42" t="s">
        <v>0</v>
      </c>
      <c r="W69" s="42" t="s">
        <v>0</v>
      </c>
      <c r="X69" s="42" t="s">
        <v>0</v>
      </c>
      <c r="Y69" s="42" t="s">
        <v>0</v>
      </c>
      <c r="Z69" s="42" t="s">
        <v>0</v>
      </c>
      <c r="AA69" s="42" t="s">
        <v>0</v>
      </c>
      <c r="AB69" s="42" t="s">
        <v>0</v>
      </c>
      <c r="AC69" s="43" t="s">
        <v>0</v>
      </c>
      <c r="AD69" s="22" t="s">
        <v>0</v>
      </c>
      <c r="AE69" s="22" t="s">
        <v>0</v>
      </c>
      <c r="AF69" s="22" t="s">
        <v>0</v>
      </c>
      <c r="AG69" s="22" t="s">
        <v>0</v>
      </c>
      <c r="AH69" s="22" t="s">
        <v>0</v>
      </c>
      <c r="AI69" s="22" t="s">
        <v>0</v>
      </c>
      <c r="AJ69" s="22" t="s">
        <v>0</v>
      </c>
      <c r="AK69" s="22" t="s">
        <v>0</v>
      </c>
    </row>
    <row r="70" spans="1:37">
      <c r="A70" s="27"/>
      <c r="B70" s="27"/>
      <c r="C70" s="22" t="s">
        <v>42</v>
      </c>
      <c r="D70" s="23">
        <v>0.64616</v>
      </c>
      <c r="E70" s="23" t="s">
        <v>6</v>
      </c>
      <c r="F70" s="23">
        <v>0.779218</v>
      </c>
      <c r="G70" s="23">
        <v>0.040729</v>
      </c>
      <c r="H70" s="23" t="s">
        <v>6</v>
      </c>
      <c r="I70" s="23">
        <v>0.76751</v>
      </c>
      <c r="J70" s="23" t="s">
        <v>6</v>
      </c>
      <c r="K70" s="23">
        <v>1.017057</v>
      </c>
      <c r="L70" s="41" t="s">
        <v>0</v>
      </c>
      <c r="M70" s="41" t="s">
        <v>0</v>
      </c>
      <c r="N70" s="41" t="s">
        <v>0</v>
      </c>
      <c r="O70" s="41" t="s">
        <v>0</v>
      </c>
      <c r="P70" s="42" t="s">
        <v>0</v>
      </c>
      <c r="Q70" s="42" t="s">
        <v>0</v>
      </c>
      <c r="R70" s="42" t="s">
        <v>0</v>
      </c>
      <c r="S70" s="42" t="s">
        <v>0</v>
      </c>
      <c r="T70" s="42" t="s">
        <v>0</v>
      </c>
      <c r="U70" s="42" t="s">
        <v>0</v>
      </c>
      <c r="V70" s="42" t="s">
        <v>0</v>
      </c>
      <c r="W70" s="42" t="s">
        <v>0</v>
      </c>
      <c r="X70" s="42" t="s">
        <v>0</v>
      </c>
      <c r="Y70" s="42" t="s">
        <v>0</v>
      </c>
      <c r="Z70" s="42" t="s">
        <v>0</v>
      </c>
      <c r="AA70" s="42" t="s">
        <v>0</v>
      </c>
      <c r="AB70" s="42" t="s">
        <v>0</v>
      </c>
      <c r="AC70" s="43" t="s">
        <v>0</v>
      </c>
      <c r="AD70" s="22" t="s">
        <v>0</v>
      </c>
      <c r="AE70" s="22" t="s">
        <v>0</v>
      </c>
      <c r="AF70" s="22" t="s">
        <v>0</v>
      </c>
      <c r="AG70" s="22" t="s">
        <v>0</v>
      </c>
      <c r="AH70" s="22" t="s">
        <v>0</v>
      </c>
      <c r="AI70" s="22" t="s">
        <v>0</v>
      </c>
      <c r="AJ70" s="22" t="s">
        <v>0</v>
      </c>
      <c r="AK70" s="22" t="s">
        <v>0</v>
      </c>
    </row>
    <row r="71" spans="1:37">
      <c r="A71" s="27"/>
      <c r="B71" s="27"/>
      <c r="C71" s="22" t="s">
        <v>43</v>
      </c>
      <c r="D71" s="23">
        <v>5.82565</v>
      </c>
      <c r="E71" s="23" t="s">
        <v>6</v>
      </c>
      <c r="F71" s="23">
        <v>0.607614</v>
      </c>
      <c r="G71" s="23">
        <v>0.3066</v>
      </c>
      <c r="H71" s="23" t="s">
        <v>6</v>
      </c>
      <c r="I71" s="23">
        <v>0.289247</v>
      </c>
      <c r="J71" s="23" t="s">
        <v>6</v>
      </c>
      <c r="K71" s="23">
        <v>1.717855</v>
      </c>
      <c r="L71" s="41" t="s">
        <v>0</v>
      </c>
      <c r="M71" s="41" t="s">
        <v>0</v>
      </c>
      <c r="N71" s="41" t="s">
        <v>0</v>
      </c>
      <c r="O71" s="41" t="s">
        <v>0</v>
      </c>
      <c r="P71" s="42" t="s">
        <v>0</v>
      </c>
      <c r="Q71" s="42" t="s">
        <v>0</v>
      </c>
      <c r="R71" s="42" t="s">
        <v>0</v>
      </c>
      <c r="S71" s="42" t="s">
        <v>0</v>
      </c>
      <c r="T71" s="42" t="s">
        <v>0</v>
      </c>
      <c r="U71" s="42" t="s">
        <v>0</v>
      </c>
      <c r="V71" s="42" t="s">
        <v>0</v>
      </c>
      <c r="W71" s="42" t="s">
        <v>0</v>
      </c>
      <c r="X71" s="42" t="s">
        <v>0</v>
      </c>
      <c r="Y71" s="42" t="s">
        <v>0</v>
      </c>
      <c r="Z71" s="42" t="s">
        <v>0</v>
      </c>
      <c r="AA71" s="42" t="s">
        <v>0</v>
      </c>
      <c r="AB71" s="42" t="s">
        <v>0</v>
      </c>
      <c r="AC71" s="43" t="s">
        <v>0</v>
      </c>
      <c r="AD71" s="22" t="s">
        <v>0</v>
      </c>
      <c r="AE71" s="22" t="s">
        <v>0</v>
      </c>
      <c r="AF71" s="22" t="s">
        <v>0</v>
      </c>
      <c r="AG71" s="22" t="s">
        <v>0</v>
      </c>
      <c r="AH71" s="22" t="s">
        <v>0</v>
      </c>
      <c r="AI71" s="22" t="s">
        <v>0</v>
      </c>
      <c r="AJ71" s="22" t="s">
        <v>0</v>
      </c>
      <c r="AK71" s="22" t="s">
        <v>0</v>
      </c>
    </row>
    <row r="72" spans="1:37">
      <c r="A72" s="27"/>
      <c r="B72" s="27"/>
      <c r="C72" s="22" t="s">
        <v>44</v>
      </c>
      <c r="D72" s="23">
        <v>2.944326</v>
      </c>
      <c r="E72" s="23" t="s">
        <v>6</v>
      </c>
      <c r="F72" s="23">
        <v>2.525664</v>
      </c>
      <c r="G72" s="23">
        <v>0.133976</v>
      </c>
      <c r="H72" s="23" t="s">
        <v>6</v>
      </c>
      <c r="I72" s="23">
        <v>2.164407</v>
      </c>
      <c r="J72" s="23" t="s">
        <v>6</v>
      </c>
      <c r="K72" s="23" t="s">
        <v>93</v>
      </c>
      <c r="L72" s="41" t="s">
        <v>0</v>
      </c>
      <c r="M72" s="41" t="s">
        <v>0</v>
      </c>
      <c r="N72" s="41" t="s">
        <v>0</v>
      </c>
      <c r="O72" s="41" t="s">
        <v>0</v>
      </c>
      <c r="P72" s="42" t="s">
        <v>0</v>
      </c>
      <c r="Q72" s="42" t="s">
        <v>0</v>
      </c>
      <c r="R72" s="42" t="s">
        <v>0</v>
      </c>
      <c r="S72" s="42" t="s">
        <v>0</v>
      </c>
      <c r="T72" s="42" t="s">
        <v>0</v>
      </c>
      <c r="U72" s="42" t="s">
        <v>0</v>
      </c>
      <c r="V72" s="42" t="s">
        <v>0</v>
      </c>
      <c r="W72" s="42" t="s">
        <v>0</v>
      </c>
      <c r="X72" s="42" t="s">
        <v>0</v>
      </c>
      <c r="Y72" s="42" t="s">
        <v>0</v>
      </c>
      <c r="Z72" s="42" t="s">
        <v>0</v>
      </c>
      <c r="AA72" s="42" t="s">
        <v>0</v>
      </c>
      <c r="AB72" s="42" t="s">
        <v>0</v>
      </c>
      <c r="AC72" s="43" t="s">
        <v>0</v>
      </c>
      <c r="AD72" s="22" t="s">
        <v>0</v>
      </c>
      <c r="AE72" s="22" t="s">
        <v>0</v>
      </c>
      <c r="AF72" s="22" t="s">
        <v>0</v>
      </c>
      <c r="AG72" s="22" t="s">
        <v>0</v>
      </c>
      <c r="AH72" s="22" t="s">
        <v>0</v>
      </c>
      <c r="AI72" s="22" t="s">
        <v>0</v>
      </c>
      <c r="AJ72" s="22" t="s">
        <v>0</v>
      </c>
      <c r="AK72" s="22" t="s">
        <v>0</v>
      </c>
    </row>
    <row r="73" spans="1:37">
      <c r="A73" s="27"/>
      <c r="B73" s="28"/>
      <c r="C73" s="22" t="s">
        <v>45</v>
      </c>
      <c r="D73" s="23">
        <v>79.573221</v>
      </c>
      <c r="E73" s="23" t="s">
        <v>6</v>
      </c>
      <c r="F73" s="23">
        <v>0.657813</v>
      </c>
      <c r="G73" s="23">
        <v>2.351908</v>
      </c>
      <c r="H73" s="23" t="s">
        <v>6</v>
      </c>
      <c r="I73" s="23">
        <v>0.602863</v>
      </c>
      <c r="J73" s="23" t="s">
        <v>6</v>
      </c>
      <c r="K73" s="23">
        <v>6.106548</v>
      </c>
      <c r="L73" s="41" t="s">
        <v>0</v>
      </c>
      <c r="M73" s="41" t="s">
        <v>0</v>
      </c>
      <c r="N73" s="41" t="s">
        <v>0</v>
      </c>
      <c r="O73" s="41" t="s">
        <v>0</v>
      </c>
      <c r="P73" s="42" t="s">
        <v>0</v>
      </c>
      <c r="Q73" s="42" t="s">
        <v>0</v>
      </c>
      <c r="R73" s="42" t="s">
        <v>0</v>
      </c>
      <c r="S73" s="42" t="s">
        <v>0</v>
      </c>
      <c r="T73" s="42" t="s">
        <v>0</v>
      </c>
      <c r="U73" s="42" t="s">
        <v>0</v>
      </c>
      <c r="V73" s="42" t="s">
        <v>0</v>
      </c>
      <c r="W73" s="42" t="s">
        <v>0</v>
      </c>
      <c r="X73" s="42" t="s">
        <v>0</v>
      </c>
      <c r="Y73" s="42" t="s">
        <v>0</v>
      </c>
      <c r="Z73" s="42" t="s">
        <v>0</v>
      </c>
      <c r="AA73" s="42" t="s">
        <v>0</v>
      </c>
      <c r="AB73" s="42" t="s">
        <v>0</v>
      </c>
      <c r="AC73" s="43" t="s">
        <v>0</v>
      </c>
      <c r="AD73" s="22" t="s">
        <v>0</v>
      </c>
      <c r="AE73" s="22" t="s">
        <v>0</v>
      </c>
      <c r="AF73" s="22" t="s">
        <v>0</v>
      </c>
      <c r="AG73" s="22" t="s">
        <v>0</v>
      </c>
      <c r="AH73" s="22" t="s">
        <v>0</v>
      </c>
      <c r="AI73" s="22" t="s">
        <v>0</v>
      </c>
      <c r="AJ73" s="22" t="s">
        <v>0</v>
      </c>
      <c r="AK73" s="22" t="s">
        <v>0</v>
      </c>
    </row>
    <row r="74" spans="1:37">
      <c r="A74" s="27"/>
      <c r="B74" s="22" t="s">
        <v>46</v>
      </c>
      <c r="C74" s="22" t="s">
        <v>47</v>
      </c>
      <c r="D74" s="23">
        <v>945.48169</v>
      </c>
      <c r="E74" s="23">
        <v>94.403809</v>
      </c>
      <c r="F74" s="23">
        <v>2.64699</v>
      </c>
      <c r="G74" s="23">
        <v>78.250556</v>
      </c>
      <c r="H74" s="23">
        <v>20.155273</v>
      </c>
      <c r="I74" s="23">
        <v>2.607213</v>
      </c>
      <c r="J74" s="23">
        <v>174750</v>
      </c>
      <c r="K74" s="23">
        <v>212.220983</v>
      </c>
      <c r="L74" s="41" t="s">
        <v>0</v>
      </c>
      <c r="M74" s="41" t="s">
        <v>0</v>
      </c>
      <c r="N74" s="41" t="s">
        <v>0</v>
      </c>
      <c r="O74" s="41" t="s">
        <v>0</v>
      </c>
      <c r="P74" s="42" t="s">
        <v>0</v>
      </c>
      <c r="Q74" s="42" t="s">
        <v>0</v>
      </c>
      <c r="R74" s="42" t="s">
        <v>0</v>
      </c>
      <c r="S74" s="42" t="s">
        <v>0</v>
      </c>
      <c r="T74" s="42" t="s">
        <v>0</v>
      </c>
      <c r="U74" s="42" t="s">
        <v>0</v>
      </c>
      <c r="V74" s="42" t="s">
        <v>0</v>
      </c>
      <c r="W74" s="42" t="s">
        <v>0</v>
      </c>
      <c r="X74" s="42" t="s">
        <v>0</v>
      </c>
      <c r="Y74" s="42" t="s">
        <v>0</v>
      </c>
      <c r="Z74" s="42" t="s">
        <v>0</v>
      </c>
      <c r="AA74" s="42" t="s">
        <v>0</v>
      </c>
      <c r="AB74" s="42" t="s">
        <v>0</v>
      </c>
      <c r="AC74" s="43" t="s">
        <v>0</v>
      </c>
      <c r="AD74" s="22" t="s">
        <v>0</v>
      </c>
      <c r="AE74" s="22" t="s">
        <v>0</v>
      </c>
      <c r="AF74" s="22" t="s">
        <v>0</v>
      </c>
      <c r="AG74" s="22" t="s">
        <v>0</v>
      </c>
      <c r="AH74" s="22" t="s">
        <v>0</v>
      </c>
      <c r="AI74" s="22" t="s">
        <v>0</v>
      </c>
      <c r="AJ74" s="22" t="s">
        <v>0</v>
      </c>
      <c r="AK74" s="22" t="s">
        <v>0</v>
      </c>
    </row>
    <row r="75" spans="1:37">
      <c r="A75" s="27"/>
      <c r="B75" s="27"/>
      <c r="C75" s="22" t="s">
        <v>48</v>
      </c>
      <c r="D75" s="23">
        <v>18.717222</v>
      </c>
      <c r="E75" s="23">
        <v>815.769108</v>
      </c>
      <c r="F75" s="23">
        <v>0.682252</v>
      </c>
      <c r="G75" s="23">
        <v>1.695916</v>
      </c>
      <c r="H75" s="23">
        <v>94.662142</v>
      </c>
      <c r="I75" s="23">
        <v>0.923381</v>
      </c>
      <c r="J75" s="23">
        <v>427461</v>
      </c>
      <c r="K75" s="23">
        <v>209.402692</v>
      </c>
      <c r="L75" s="41" t="s">
        <v>0</v>
      </c>
      <c r="M75" s="41" t="s">
        <v>0</v>
      </c>
      <c r="N75" s="41" t="s">
        <v>0</v>
      </c>
      <c r="O75" s="41" t="s">
        <v>0</v>
      </c>
      <c r="P75" s="42" t="s">
        <v>0</v>
      </c>
      <c r="Q75" s="42" t="s">
        <v>0</v>
      </c>
      <c r="R75" s="42" t="s">
        <v>0</v>
      </c>
      <c r="S75" s="42" t="s">
        <v>0</v>
      </c>
      <c r="T75" s="42" t="s">
        <v>0</v>
      </c>
      <c r="U75" s="42" t="s">
        <v>0</v>
      </c>
      <c r="V75" s="42" t="s">
        <v>0</v>
      </c>
      <c r="W75" s="42" t="s">
        <v>0</v>
      </c>
      <c r="X75" s="42" t="s">
        <v>0</v>
      </c>
      <c r="Y75" s="42" t="s">
        <v>0</v>
      </c>
      <c r="Z75" s="42" t="s">
        <v>0</v>
      </c>
      <c r="AA75" s="42" t="s">
        <v>0</v>
      </c>
      <c r="AB75" s="42" t="s">
        <v>0</v>
      </c>
      <c r="AC75" s="43" t="s">
        <v>0</v>
      </c>
      <c r="AD75" s="22" t="s">
        <v>0</v>
      </c>
      <c r="AE75" s="22" t="s">
        <v>0</v>
      </c>
      <c r="AF75" s="22" t="s">
        <v>0</v>
      </c>
      <c r="AG75" s="22" t="s">
        <v>0</v>
      </c>
      <c r="AH75" s="22" t="s">
        <v>0</v>
      </c>
      <c r="AI75" s="22" t="s">
        <v>0</v>
      </c>
      <c r="AJ75" s="22" t="s">
        <v>0</v>
      </c>
      <c r="AK75" s="22" t="s">
        <v>0</v>
      </c>
    </row>
    <row r="76" spans="1:37">
      <c r="A76" s="27"/>
      <c r="B76" s="27"/>
      <c r="C76" s="22" t="s">
        <v>49</v>
      </c>
      <c r="D76" s="23">
        <v>59.579897</v>
      </c>
      <c r="E76" s="23">
        <v>18.421842</v>
      </c>
      <c r="F76" s="23">
        <v>1.369741</v>
      </c>
      <c r="G76" s="23">
        <v>0.528694</v>
      </c>
      <c r="H76" s="23">
        <v>18.021484</v>
      </c>
      <c r="I76" s="23">
        <v>1.10072</v>
      </c>
      <c r="J76" s="23">
        <v>14695</v>
      </c>
      <c r="K76" s="23">
        <v>209.502526</v>
      </c>
      <c r="L76" s="41" t="s">
        <v>0</v>
      </c>
      <c r="M76" s="41" t="s">
        <v>0</v>
      </c>
      <c r="N76" s="41" t="s">
        <v>0</v>
      </c>
      <c r="O76" s="41" t="s">
        <v>0</v>
      </c>
      <c r="P76" s="42" t="s">
        <v>0</v>
      </c>
      <c r="Q76" s="42" t="s">
        <v>0</v>
      </c>
      <c r="R76" s="42" t="s">
        <v>0</v>
      </c>
      <c r="S76" s="42" t="s">
        <v>0</v>
      </c>
      <c r="T76" s="42" t="s">
        <v>0</v>
      </c>
      <c r="U76" s="42" t="s">
        <v>0</v>
      </c>
      <c r="V76" s="42" t="s">
        <v>0</v>
      </c>
      <c r="W76" s="42" t="s">
        <v>0</v>
      </c>
      <c r="X76" s="42" t="s">
        <v>0</v>
      </c>
      <c r="Y76" s="42" t="s">
        <v>0</v>
      </c>
      <c r="Z76" s="42" t="s">
        <v>0</v>
      </c>
      <c r="AA76" s="42" t="s">
        <v>0</v>
      </c>
      <c r="AB76" s="42" t="s">
        <v>0</v>
      </c>
      <c r="AC76" s="43" t="s">
        <v>0</v>
      </c>
      <c r="AD76" s="22" t="s">
        <v>0</v>
      </c>
      <c r="AE76" s="22" t="s">
        <v>0</v>
      </c>
      <c r="AF76" s="22" t="s">
        <v>0</v>
      </c>
      <c r="AG76" s="22" t="s">
        <v>0</v>
      </c>
      <c r="AH76" s="22" t="s">
        <v>0</v>
      </c>
      <c r="AI76" s="22" t="s">
        <v>0</v>
      </c>
      <c r="AJ76" s="22" t="s">
        <v>0</v>
      </c>
      <c r="AK76" s="22" t="s">
        <v>0</v>
      </c>
    </row>
    <row r="77" spans="1:37">
      <c r="A77" s="27"/>
      <c r="B77" s="27"/>
      <c r="C77" s="22" t="s">
        <v>50</v>
      </c>
      <c r="D77" s="23">
        <v>100.745147</v>
      </c>
      <c r="E77" s="23">
        <v>1743.660156</v>
      </c>
      <c r="F77" s="23">
        <v>0.658545</v>
      </c>
      <c r="G77" s="23">
        <v>0.034458</v>
      </c>
      <c r="H77" s="23">
        <v>290.010645</v>
      </c>
      <c r="I77" s="23">
        <v>0.639189</v>
      </c>
      <c r="J77" s="23">
        <v>5285149</v>
      </c>
      <c r="K77" s="23">
        <v>30.065803</v>
      </c>
      <c r="L77" s="41" t="s">
        <v>0</v>
      </c>
      <c r="M77" s="41" t="s">
        <v>0</v>
      </c>
      <c r="N77" s="41" t="s">
        <v>0</v>
      </c>
      <c r="O77" s="41" t="s">
        <v>0</v>
      </c>
      <c r="P77" s="42" t="s">
        <v>0</v>
      </c>
      <c r="Q77" s="42" t="s">
        <v>0</v>
      </c>
      <c r="R77" s="42" t="s">
        <v>0</v>
      </c>
      <c r="S77" s="42" t="s">
        <v>0</v>
      </c>
      <c r="T77" s="42" t="s">
        <v>0</v>
      </c>
      <c r="U77" s="42" t="s">
        <v>0</v>
      </c>
      <c r="V77" s="42" t="s">
        <v>0</v>
      </c>
      <c r="W77" s="42" t="s">
        <v>0</v>
      </c>
      <c r="X77" s="42" t="s">
        <v>0</v>
      </c>
      <c r="Y77" s="42" t="s">
        <v>0</v>
      </c>
      <c r="Z77" s="42" t="s">
        <v>0</v>
      </c>
      <c r="AA77" s="42" t="s">
        <v>0</v>
      </c>
      <c r="AB77" s="42" t="s">
        <v>0</v>
      </c>
      <c r="AC77" s="43" t="s">
        <v>0</v>
      </c>
      <c r="AD77" s="22" t="s">
        <v>0</v>
      </c>
      <c r="AE77" s="22" t="s">
        <v>0</v>
      </c>
      <c r="AF77" s="22" t="s">
        <v>0</v>
      </c>
      <c r="AG77" s="22" t="s">
        <v>0</v>
      </c>
      <c r="AH77" s="22" t="s">
        <v>0</v>
      </c>
      <c r="AI77" s="22" t="s">
        <v>0</v>
      </c>
      <c r="AJ77" s="22" t="s">
        <v>0</v>
      </c>
      <c r="AK77" s="22" t="s">
        <v>0</v>
      </c>
    </row>
    <row r="78" spans="1:37">
      <c r="A78" s="27"/>
      <c r="B78" s="27"/>
      <c r="C78" s="22" t="s">
        <v>51</v>
      </c>
      <c r="D78" s="22">
        <v>619.422919</v>
      </c>
      <c r="E78" s="22">
        <v>1304.988249</v>
      </c>
      <c r="F78" s="22">
        <v>1.919938</v>
      </c>
      <c r="G78" s="22">
        <v>0.326384</v>
      </c>
      <c r="H78" s="22">
        <v>509.111914</v>
      </c>
      <c r="I78" s="22">
        <v>1.813362</v>
      </c>
      <c r="J78" s="22">
        <v>353024</v>
      </c>
      <c r="K78" s="22">
        <v>1.377658</v>
      </c>
      <c r="L78" s="41" t="s">
        <v>0</v>
      </c>
      <c r="M78" s="41" t="s">
        <v>0</v>
      </c>
      <c r="N78" s="41" t="s">
        <v>0</v>
      </c>
      <c r="O78" s="41" t="s">
        <v>0</v>
      </c>
      <c r="P78" s="42" t="s">
        <v>0</v>
      </c>
      <c r="Q78" s="42" t="s">
        <v>0</v>
      </c>
      <c r="R78" s="42" t="s">
        <v>0</v>
      </c>
      <c r="S78" s="42" t="s">
        <v>0</v>
      </c>
      <c r="T78" s="42" t="s">
        <v>0</v>
      </c>
      <c r="U78" s="42" t="s">
        <v>0</v>
      </c>
      <c r="V78" s="42" t="s">
        <v>0</v>
      </c>
      <c r="W78" s="42" t="s">
        <v>0</v>
      </c>
      <c r="X78" s="42" t="s">
        <v>0</v>
      </c>
      <c r="Y78" s="42" t="s">
        <v>0</v>
      </c>
      <c r="Z78" s="42" t="s">
        <v>0</v>
      </c>
      <c r="AA78" s="42" t="s">
        <v>0</v>
      </c>
      <c r="AB78" s="42" t="s">
        <v>0</v>
      </c>
      <c r="AC78" s="43" t="s">
        <v>0</v>
      </c>
      <c r="AD78" s="22" t="s">
        <v>0</v>
      </c>
      <c r="AE78" s="22" t="s">
        <v>0</v>
      </c>
      <c r="AF78" s="22" t="s">
        <v>0</v>
      </c>
      <c r="AG78" s="22" t="s">
        <v>0</v>
      </c>
      <c r="AH78" s="22" t="s">
        <v>0</v>
      </c>
      <c r="AI78" s="22" t="s">
        <v>0</v>
      </c>
      <c r="AJ78" s="22" t="s">
        <v>0</v>
      </c>
      <c r="AK78" s="22" t="s">
        <v>0</v>
      </c>
    </row>
    <row r="79" spans="1:37">
      <c r="A79" s="27"/>
      <c r="B79" s="27"/>
      <c r="C79" s="22" t="s">
        <v>52</v>
      </c>
      <c r="D79" s="22">
        <v>1235.694736</v>
      </c>
      <c r="E79" s="22">
        <v>7761.312012</v>
      </c>
      <c r="F79" s="22">
        <v>0.659239</v>
      </c>
      <c r="G79" s="22">
        <v>0.16229</v>
      </c>
      <c r="H79" s="22">
        <v>910.32054</v>
      </c>
      <c r="I79" s="22">
        <v>0.658812</v>
      </c>
      <c r="J79" s="22">
        <v>1125125</v>
      </c>
      <c r="K79" s="22">
        <v>38.490301</v>
      </c>
      <c r="L79" s="41" t="s">
        <v>0</v>
      </c>
      <c r="M79" s="41" t="s">
        <v>0</v>
      </c>
      <c r="N79" s="41" t="s">
        <v>0</v>
      </c>
      <c r="O79" s="41" t="s">
        <v>0</v>
      </c>
      <c r="P79" s="42" t="s">
        <v>0</v>
      </c>
      <c r="Q79" s="42" t="s">
        <v>0</v>
      </c>
      <c r="R79" s="42" t="s">
        <v>0</v>
      </c>
      <c r="S79" s="42" t="s">
        <v>0</v>
      </c>
      <c r="T79" s="42" t="s">
        <v>0</v>
      </c>
      <c r="U79" s="42" t="s">
        <v>0</v>
      </c>
      <c r="V79" s="42" t="s">
        <v>0</v>
      </c>
      <c r="W79" s="42" t="s">
        <v>0</v>
      </c>
      <c r="X79" s="42" t="s">
        <v>0</v>
      </c>
      <c r="Y79" s="42" t="s">
        <v>0</v>
      </c>
      <c r="Z79" s="42" t="s">
        <v>0</v>
      </c>
      <c r="AA79" s="42" t="s">
        <v>0</v>
      </c>
      <c r="AB79" s="42" t="s">
        <v>0</v>
      </c>
      <c r="AC79" s="43" t="s">
        <v>0</v>
      </c>
      <c r="AD79" s="22" t="s">
        <v>0</v>
      </c>
      <c r="AE79" s="22" t="s">
        <v>0</v>
      </c>
      <c r="AF79" s="22" t="s">
        <v>0</v>
      </c>
      <c r="AG79" s="22" t="s">
        <v>0</v>
      </c>
      <c r="AH79" s="22" t="s">
        <v>0</v>
      </c>
      <c r="AI79" s="22" t="s">
        <v>0</v>
      </c>
      <c r="AJ79" s="22" t="s">
        <v>0</v>
      </c>
      <c r="AK79" s="22" t="s">
        <v>0</v>
      </c>
    </row>
    <row r="80" spans="1:37">
      <c r="A80" s="27"/>
      <c r="B80" s="27"/>
      <c r="C80" s="22" t="s">
        <v>53</v>
      </c>
      <c r="D80" s="22">
        <v>447.362736</v>
      </c>
      <c r="E80" s="22">
        <v>4500.744824</v>
      </c>
      <c r="F80" s="22">
        <v>0.953181</v>
      </c>
      <c r="G80" s="22">
        <v>0.18346</v>
      </c>
      <c r="H80" s="22">
        <v>1188.58903</v>
      </c>
      <c r="I80" s="22">
        <v>1.327623</v>
      </c>
      <c r="J80" s="22">
        <v>6806475</v>
      </c>
      <c r="K80" s="22">
        <v>25.987761</v>
      </c>
      <c r="L80" s="42" t="s">
        <v>0</v>
      </c>
      <c r="M80" s="42" t="s">
        <v>0</v>
      </c>
      <c r="N80" s="42" t="s">
        <v>0</v>
      </c>
      <c r="O80" s="42" t="s">
        <v>0</v>
      </c>
      <c r="P80" s="42" t="s">
        <v>0</v>
      </c>
      <c r="Q80" s="42" t="s">
        <v>0</v>
      </c>
      <c r="R80" s="42" t="s">
        <v>0</v>
      </c>
      <c r="S80" s="42" t="s">
        <v>0</v>
      </c>
      <c r="T80" s="42" t="s">
        <v>0</v>
      </c>
      <c r="U80" s="42" t="s">
        <v>0</v>
      </c>
      <c r="V80" s="42" t="s">
        <v>0</v>
      </c>
      <c r="W80" s="42" t="s">
        <v>0</v>
      </c>
      <c r="X80" s="42" t="s">
        <v>0</v>
      </c>
      <c r="Y80" s="42" t="s">
        <v>0</v>
      </c>
      <c r="Z80" s="42" t="s">
        <v>0</v>
      </c>
      <c r="AA80" s="46" t="s">
        <v>0</v>
      </c>
      <c r="AB80" s="46" t="s">
        <v>0</v>
      </c>
      <c r="AC80" s="45" t="s">
        <v>84</v>
      </c>
      <c r="AD80" s="32" t="s">
        <v>85</v>
      </c>
      <c r="AE80" s="32" t="s">
        <v>86</v>
      </c>
      <c r="AF80" s="32" t="s">
        <v>87</v>
      </c>
      <c r="AG80" s="32" t="s">
        <v>88</v>
      </c>
      <c r="AH80" s="32" t="s">
        <v>89</v>
      </c>
      <c r="AI80" s="32" t="s">
        <v>90</v>
      </c>
      <c r="AJ80" s="32" t="s">
        <v>91</v>
      </c>
      <c r="AK80" s="32" t="s">
        <v>92</v>
      </c>
    </row>
    <row r="81" spans="1:37">
      <c r="A81" s="27"/>
      <c r="B81" s="27"/>
      <c r="C81" s="22" t="s">
        <v>54</v>
      </c>
      <c r="D81" s="22">
        <v>257.439203</v>
      </c>
      <c r="E81" s="22">
        <v>44.176758</v>
      </c>
      <c r="F81" s="22">
        <v>1.240255</v>
      </c>
      <c r="G81" s="22">
        <v>0.945935</v>
      </c>
      <c r="H81" s="22">
        <v>38.601074</v>
      </c>
      <c r="I81" s="22">
        <v>1.566826</v>
      </c>
      <c r="J81" s="22">
        <v>184389</v>
      </c>
      <c r="K81" s="22">
        <v>210.143286</v>
      </c>
      <c r="L81" s="42" t="s">
        <v>0</v>
      </c>
      <c r="M81" s="42" t="s">
        <v>0</v>
      </c>
      <c r="N81" s="42" t="s">
        <v>0</v>
      </c>
      <c r="O81" s="42" t="s">
        <v>0</v>
      </c>
      <c r="P81" s="42" t="s">
        <v>0</v>
      </c>
      <c r="Q81" s="42" t="s">
        <v>0</v>
      </c>
      <c r="R81" s="42" t="s">
        <v>0</v>
      </c>
      <c r="S81" s="42" t="s">
        <v>0</v>
      </c>
      <c r="T81" s="42" t="s">
        <v>0</v>
      </c>
      <c r="U81" s="42" t="s">
        <v>0</v>
      </c>
      <c r="V81" s="42" t="s">
        <v>0</v>
      </c>
      <c r="W81" s="42" t="s">
        <v>0</v>
      </c>
      <c r="X81" s="42" t="s">
        <v>0</v>
      </c>
      <c r="Y81" s="42" t="s">
        <v>0</v>
      </c>
      <c r="Z81" s="42" t="s">
        <v>0</v>
      </c>
      <c r="AA81" s="42" t="s">
        <v>0</v>
      </c>
      <c r="AB81" s="42" t="s">
        <v>0</v>
      </c>
      <c r="AC81" s="43" t="s">
        <v>0</v>
      </c>
      <c r="AD81" s="22" t="s">
        <v>0</v>
      </c>
      <c r="AE81" s="22" t="s">
        <v>0</v>
      </c>
      <c r="AF81" s="22" t="s">
        <v>0</v>
      </c>
      <c r="AG81" s="22" t="s">
        <v>0</v>
      </c>
      <c r="AH81" s="22" t="s">
        <v>0</v>
      </c>
      <c r="AI81" s="22" t="s">
        <v>0</v>
      </c>
      <c r="AJ81" s="22" t="s">
        <v>0</v>
      </c>
      <c r="AK81" s="22" t="s">
        <v>0</v>
      </c>
    </row>
    <row r="82" spans="1:37">
      <c r="A82" s="27"/>
      <c r="B82" s="27"/>
      <c r="C82" s="22" t="s">
        <v>55</v>
      </c>
      <c r="D82" s="22">
        <v>265.135668</v>
      </c>
      <c r="E82" s="22">
        <v>524.829199</v>
      </c>
      <c r="F82" s="22">
        <v>1.062804</v>
      </c>
      <c r="G82" s="22">
        <v>0.152456</v>
      </c>
      <c r="H82" s="22">
        <v>200.44694</v>
      </c>
      <c r="I82" s="22">
        <v>0.876854</v>
      </c>
      <c r="J82" s="22">
        <v>4754565</v>
      </c>
      <c r="K82" s="22">
        <v>19.376148</v>
      </c>
      <c r="L82" s="42" t="s">
        <v>0</v>
      </c>
      <c r="M82" s="42" t="s">
        <v>0</v>
      </c>
      <c r="N82" s="42" t="s">
        <v>0</v>
      </c>
      <c r="O82" s="42" t="s">
        <v>0</v>
      </c>
      <c r="P82" s="42" t="s">
        <v>0</v>
      </c>
      <c r="Q82" s="42" t="s">
        <v>0</v>
      </c>
      <c r="R82" s="42" t="s">
        <v>0</v>
      </c>
      <c r="S82" s="42" t="s">
        <v>0</v>
      </c>
      <c r="T82" s="42" t="s">
        <v>0</v>
      </c>
      <c r="U82" s="42" t="s">
        <v>0</v>
      </c>
      <c r="V82" s="42" t="s">
        <v>0</v>
      </c>
      <c r="W82" s="42" t="s">
        <v>0</v>
      </c>
      <c r="X82" s="42" t="s">
        <v>0</v>
      </c>
      <c r="Y82" s="42" t="s">
        <v>0</v>
      </c>
      <c r="Z82" s="42" t="s">
        <v>0</v>
      </c>
      <c r="AA82" s="42" t="s">
        <v>0</v>
      </c>
      <c r="AB82" s="42" t="s">
        <v>0</v>
      </c>
      <c r="AC82" s="43" t="s">
        <v>0</v>
      </c>
      <c r="AD82" s="22" t="s">
        <v>0</v>
      </c>
      <c r="AE82" s="22" t="s">
        <v>0</v>
      </c>
      <c r="AF82" s="22" t="s">
        <v>0</v>
      </c>
      <c r="AG82" s="22" t="s">
        <v>0</v>
      </c>
      <c r="AH82" s="22" t="s">
        <v>0</v>
      </c>
      <c r="AI82" s="22" t="s">
        <v>0</v>
      </c>
      <c r="AJ82" s="22" t="s">
        <v>0</v>
      </c>
      <c r="AK82" s="22" t="s">
        <v>0</v>
      </c>
    </row>
    <row r="83" spans="1:37">
      <c r="A83" s="27"/>
      <c r="B83" s="27"/>
      <c r="C83" s="22" t="s">
        <v>56</v>
      </c>
      <c r="D83" s="22">
        <v>40.827386</v>
      </c>
      <c r="E83" s="22">
        <v>283.798437</v>
      </c>
      <c r="F83" s="22">
        <v>0.659472</v>
      </c>
      <c r="G83" s="22">
        <v>0.042145</v>
      </c>
      <c r="H83" s="22">
        <v>104.999056</v>
      </c>
      <c r="I83" s="22">
        <v>0.636414</v>
      </c>
      <c r="J83" s="22">
        <v>5648349</v>
      </c>
      <c r="K83" s="22">
        <v>21.579328</v>
      </c>
      <c r="L83" s="42" t="s">
        <v>0</v>
      </c>
      <c r="M83" s="42" t="s">
        <v>0</v>
      </c>
      <c r="N83" s="42" t="s">
        <v>0</v>
      </c>
      <c r="O83" s="42" t="s">
        <v>0</v>
      </c>
      <c r="P83" s="42" t="s">
        <v>0</v>
      </c>
      <c r="Q83" s="42" t="s">
        <v>0</v>
      </c>
      <c r="R83" s="42" t="s">
        <v>0</v>
      </c>
      <c r="S83" s="42" t="s">
        <v>0</v>
      </c>
      <c r="T83" s="42" t="s">
        <v>0</v>
      </c>
      <c r="U83" s="42" t="s">
        <v>0</v>
      </c>
      <c r="V83" s="42" t="s">
        <v>0</v>
      </c>
      <c r="W83" s="42" t="s">
        <v>0</v>
      </c>
      <c r="X83" s="42" t="s">
        <v>0</v>
      </c>
      <c r="Y83" s="42" t="s">
        <v>0</v>
      </c>
      <c r="Z83" s="42" t="s">
        <v>0</v>
      </c>
      <c r="AA83" s="42" t="s">
        <v>0</v>
      </c>
      <c r="AB83" s="42" t="s">
        <v>0</v>
      </c>
      <c r="AC83" s="43" t="s">
        <v>0</v>
      </c>
      <c r="AD83" s="22" t="s">
        <v>0</v>
      </c>
      <c r="AE83" s="22" t="s">
        <v>0</v>
      </c>
      <c r="AF83" s="22" t="s">
        <v>0</v>
      </c>
      <c r="AG83" s="22" t="s">
        <v>0</v>
      </c>
      <c r="AH83" s="22" t="s">
        <v>0</v>
      </c>
      <c r="AI83" s="22" t="s">
        <v>0</v>
      </c>
      <c r="AJ83" s="22" t="s">
        <v>0</v>
      </c>
      <c r="AK83" s="22" t="s">
        <v>0</v>
      </c>
    </row>
    <row r="84" spans="1:37">
      <c r="A84" s="27"/>
      <c r="B84" s="27"/>
      <c r="C84" s="22" t="s">
        <v>57</v>
      </c>
      <c r="D84" s="22">
        <v>2513.788528</v>
      </c>
      <c r="E84" s="22">
        <v>2191.431901</v>
      </c>
      <c r="F84" s="22">
        <v>1.422389</v>
      </c>
      <c r="G84" s="22">
        <v>22.969113</v>
      </c>
      <c r="H84" s="22">
        <v>746.867057</v>
      </c>
      <c r="I84" s="22">
        <v>1.832439</v>
      </c>
      <c r="J84" s="22">
        <v>53760399</v>
      </c>
      <c r="K84" s="22">
        <v>224.723871</v>
      </c>
      <c r="L84" s="42" t="s">
        <v>0</v>
      </c>
      <c r="M84" s="42" t="s">
        <v>0</v>
      </c>
      <c r="N84" s="42" t="s">
        <v>0</v>
      </c>
      <c r="O84" s="42" t="s">
        <v>0</v>
      </c>
      <c r="P84" s="42" t="s">
        <v>0</v>
      </c>
      <c r="Q84" s="42" t="s">
        <v>0</v>
      </c>
      <c r="R84" s="42" t="s">
        <v>0</v>
      </c>
      <c r="S84" s="42" t="s">
        <v>0</v>
      </c>
      <c r="T84" s="42" t="s">
        <v>0</v>
      </c>
      <c r="U84" s="42" t="s">
        <v>0</v>
      </c>
      <c r="V84" s="42" t="s">
        <v>0</v>
      </c>
      <c r="W84" s="42" t="s">
        <v>0</v>
      </c>
      <c r="X84" s="42" t="s">
        <v>0</v>
      </c>
      <c r="Y84" s="42" t="s">
        <v>0</v>
      </c>
      <c r="Z84" s="42" t="s">
        <v>0</v>
      </c>
      <c r="AA84" s="42" t="s">
        <v>0</v>
      </c>
      <c r="AB84" s="42" t="s">
        <v>0</v>
      </c>
      <c r="AC84" s="43" t="s">
        <v>0</v>
      </c>
      <c r="AD84" s="22" t="s">
        <v>0</v>
      </c>
      <c r="AE84" s="22" t="s">
        <v>0</v>
      </c>
      <c r="AF84" s="22" t="s">
        <v>0</v>
      </c>
      <c r="AG84" s="22" t="s">
        <v>0</v>
      </c>
      <c r="AH84" s="22" t="s">
        <v>0</v>
      </c>
      <c r="AI84" s="22" t="s">
        <v>0</v>
      </c>
      <c r="AJ84" s="22" t="s">
        <v>0</v>
      </c>
      <c r="AK84" s="22" t="s">
        <v>0</v>
      </c>
    </row>
    <row r="85" spans="1:37">
      <c r="A85" s="27"/>
      <c r="B85" s="27"/>
      <c r="C85" s="22" t="s">
        <v>58</v>
      </c>
      <c r="D85" s="22">
        <v>163.635379</v>
      </c>
      <c r="E85" s="22">
        <v>771.627116</v>
      </c>
      <c r="F85" s="22">
        <v>0.682998</v>
      </c>
      <c r="G85" s="22">
        <v>9.324629</v>
      </c>
      <c r="H85" s="22">
        <v>752.730664</v>
      </c>
      <c r="I85" s="22">
        <v>0.670147</v>
      </c>
      <c r="J85" s="22">
        <v>20417</v>
      </c>
      <c r="K85" s="22">
        <v>0.084867</v>
      </c>
      <c r="L85" s="42" t="s">
        <v>0</v>
      </c>
      <c r="M85" s="42" t="s">
        <v>0</v>
      </c>
      <c r="N85" s="42" t="s">
        <v>0</v>
      </c>
      <c r="O85" s="42" t="s">
        <v>0</v>
      </c>
      <c r="P85" s="42" t="s">
        <v>0</v>
      </c>
      <c r="Q85" s="42" t="s">
        <v>0</v>
      </c>
      <c r="R85" s="42" t="s">
        <v>0</v>
      </c>
      <c r="S85" s="42" t="s">
        <v>0</v>
      </c>
      <c r="T85" s="42" t="s">
        <v>0</v>
      </c>
      <c r="U85" s="42" t="s">
        <v>0</v>
      </c>
      <c r="V85" s="42" t="s">
        <v>0</v>
      </c>
      <c r="W85" s="42" t="s">
        <v>0</v>
      </c>
      <c r="X85" s="42" t="s">
        <v>0</v>
      </c>
      <c r="Y85" s="42" t="s">
        <v>0</v>
      </c>
      <c r="Z85" s="42" t="s">
        <v>0</v>
      </c>
      <c r="AA85" s="42" t="s">
        <v>0</v>
      </c>
      <c r="AB85" s="42" t="s">
        <v>0</v>
      </c>
      <c r="AC85" s="43" t="s">
        <v>0</v>
      </c>
      <c r="AD85" s="22" t="s">
        <v>0</v>
      </c>
      <c r="AE85" s="22" t="s">
        <v>0</v>
      </c>
      <c r="AF85" s="22" t="s">
        <v>0</v>
      </c>
      <c r="AG85" s="22" t="s">
        <v>0</v>
      </c>
      <c r="AH85" s="22" t="s">
        <v>0</v>
      </c>
      <c r="AI85" s="22" t="s">
        <v>0</v>
      </c>
      <c r="AJ85" s="22" t="s">
        <v>0</v>
      </c>
      <c r="AK85" s="22" t="s">
        <v>0</v>
      </c>
    </row>
    <row r="86" spans="1:37">
      <c r="A86" s="27"/>
      <c r="B86" s="27"/>
      <c r="C86" s="22" t="s">
        <v>59</v>
      </c>
      <c r="D86" s="22">
        <v>64.915783</v>
      </c>
      <c r="E86" s="22">
        <v>3547.85944</v>
      </c>
      <c r="F86" s="22">
        <v>1.032428</v>
      </c>
      <c r="G86" s="22">
        <v>0.716776</v>
      </c>
      <c r="H86" s="22">
        <v>1004.569564</v>
      </c>
      <c r="I86" s="22">
        <v>1.217904</v>
      </c>
      <c r="J86" s="22">
        <v>3206243</v>
      </c>
      <c r="K86" s="22">
        <v>12.238356</v>
      </c>
      <c r="L86" s="42" t="s">
        <v>0</v>
      </c>
      <c r="M86" s="42" t="s">
        <v>0</v>
      </c>
      <c r="N86" s="42" t="s">
        <v>0</v>
      </c>
      <c r="O86" s="42" t="s">
        <v>0</v>
      </c>
      <c r="P86" s="42" t="s">
        <v>0</v>
      </c>
      <c r="Q86" s="42" t="s">
        <v>0</v>
      </c>
      <c r="R86" s="42" t="s">
        <v>0</v>
      </c>
      <c r="S86" s="42" t="s">
        <v>0</v>
      </c>
      <c r="T86" s="42" t="s">
        <v>0</v>
      </c>
      <c r="U86" s="42" t="s">
        <v>0</v>
      </c>
      <c r="V86" s="42" t="s">
        <v>0</v>
      </c>
      <c r="W86" s="42" t="s">
        <v>0</v>
      </c>
      <c r="X86" s="42" t="s">
        <v>0</v>
      </c>
      <c r="Y86" s="42" t="s">
        <v>0</v>
      </c>
      <c r="Z86" s="42" t="s">
        <v>0</v>
      </c>
      <c r="AA86" s="42" t="s">
        <v>0</v>
      </c>
      <c r="AB86" s="42" t="s">
        <v>0</v>
      </c>
      <c r="AC86" s="43" t="s">
        <v>0</v>
      </c>
      <c r="AD86" s="22" t="s">
        <v>0</v>
      </c>
      <c r="AE86" s="22" t="s">
        <v>0</v>
      </c>
      <c r="AF86" s="22" t="s">
        <v>0</v>
      </c>
      <c r="AG86" s="22" t="s">
        <v>0</v>
      </c>
      <c r="AH86" s="22" t="s">
        <v>0</v>
      </c>
      <c r="AI86" s="22" t="s">
        <v>0</v>
      </c>
      <c r="AJ86" s="22" t="s">
        <v>0</v>
      </c>
      <c r="AK86" s="22" t="s">
        <v>0</v>
      </c>
    </row>
    <row r="87" spans="1:37">
      <c r="A87" s="27"/>
      <c r="B87" s="27"/>
      <c r="C87" s="22" t="s">
        <v>60</v>
      </c>
      <c r="D87" s="22">
        <v>84.287049</v>
      </c>
      <c r="E87" s="22">
        <v>1740.52181</v>
      </c>
      <c r="F87" s="22">
        <v>0.657314</v>
      </c>
      <c r="G87" s="22">
        <v>0.687503</v>
      </c>
      <c r="H87" s="22">
        <v>905.029785</v>
      </c>
      <c r="I87" s="22">
        <v>0.661512</v>
      </c>
      <c r="J87" s="22">
        <v>465270</v>
      </c>
      <c r="K87" s="22">
        <v>1.78249</v>
      </c>
      <c r="L87" s="42" t="s">
        <v>0</v>
      </c>
      <c r="M87" s="42" t="s">
        <v>0</v>
      </c>
      <c r="N87" s="42" t="s">
        <v>0</v>
      </c>
      <c r="O87" s="42" t="s">
        <v>0</v>
      </c>
      <c r="P87" s="42" t="s">
        <v>0</v>
      </c>
      <c r="Q87" s="42" t="s">
        <v>0</v>
      </c>
      <c r="R87" s="42" t="s">
        <v>0</v>
      </c>
      <c r="S87" s="42" t="s">
        <v>0</v>
      </c>
      <c r="T87" s="42" t="s">
        <v>0</v>
      </c>
      <c r="U87" s="42" t="s">
        <v>0</v>
      </c>
      <c r="V87" s="42" t="s">
        <v>0</v>
      </c>
      <c r="W87" s="42" t="s">
        <v>0</v>
      </c>
      <c r="X87" s="42" t="s">
        <v>0</v>
      </c>
      <c r="Y87" s="42" t="s">
        <v>0</v>
      </c>
      <c r="Z87" s="42" t="s">
        <v>0</v>
      </c>
      <c r="AA87" s="42" t="s">
        <v>0</v>
      </c>
      <c r="AB87" s="42" t="s">
        <v>0</v>
      </c>
      <c r="AC87" s="43" t="s">
        <v>0</v>
      </c>
      <c r="AD87" s="22" t="s">
        <v>0</v>
      </c>
      <c r="AE87" s="22" t="s">
        <v>0</v>
      </c>
      <c r="AF87" s="22" t="s">
        <v>0</v>
      </c>
      <c r="AG87" s="22" t="s">
        <v>0</v>
      </c>
      <c r="AH87" s="22" t="s">
        <v>0</v>
      </c>
      <c r="AI87" s="22" t="s">
        <v>0</v>
      </c>
      <c r="AJ87" s="22" t="s">
        <v>0</v>
      </c>
      <c r="AK87" s="22" t="s">
        <v>0</v>
      </c>
    </row>
    <row r="88" spans="1:37">
      <c r="A88" s="27"/>
      <c r="B88" s="27"/>
      <c r="C88" s="22" t="s">
        <v>61</v>
      </c>
      <c r="D88" s="22">
        <v>119.348487</v>
      </c>
      <c r="E88" s="22">
        <v>104.299805</v>
      </c>
      <c r="F88" s="22">
        <v>0.646148</v>
      </c>
      <c r="G88" s="22">
        <v>2.848334</v>
      </c>
      <c r="H88" s="22">
        <v>69.020996</v>
      </c>
      <c r="I88" s="22">
        <v>0.644578</v>
      </c>
      <c r="J88" s="22">
        <v>47257</v>
      </c>
      <c r="K88" s="22">
        <v>0.186069</v>
      </c>
      <c r="L88" s="42" t="s">
        <v>0</v>
      </c>
      <c r="M88" s="42" t="s">
        <v>0</v>
      </c>
      <c r="N88" s="42" t="s">
        <v>0</v>
      </c>
      <c r="O88" s="42" t="s">
        <v>0</v>
      </c>
      <c r="P88" s="42" t="s">
        <v>0</v>
      </c>
      <c r="Q88" s="42" t="s">
        <v>0</v>
      </c>
      <c r="R88" s="42" t="s">
        <v>0</v>
      </c>
      <c r="S88" s="42" t="s">
        <v>0</v>
      </c>
      <c r="T88" s="42" t="s">
        <v>0</v>
      </c>
      <c r="U88" s="42" t="s">
        <v>0</v>
      </c>
      <c r="V88" s="42" t="s">
        <v>0</v>
      </c>
      <c r="W88" s="42" t="s">
        <v>0</v>
      </c>
      <c r="X88" s="42" t="s">
        <v>0</v>
      </c>
      <c r="Y88" s="42" t="s">
        <v>0</v>
      </c>
      <c r="Z88" s="42" t="s">
        <v>0</v>
      </c>
      <c r="AA88" s="42" t="s">
        <v>0</v>
      </c>
      <c r="AB88" s="42" t="s">
        <v>0</v>
      </c>
      <c r="AC88" s="43" t="s">
        <v>0</v>
      </c>
      <c r="AD88" s="22" t="s">
        <v>0</v>
      </c>
      <c r="AE88" s="22" t="s">
        <v>0</v>
      </c>
      <c r="AF88" s="22" t="s">
        <v>0</v>
      </c>
      <c r="AG88" s="22" t="s">
        <v>0</v>
      </c>
      <c r="AH88" s="22" t="s">
        <v>0</v>
      </c>
      <c r="AI88" s="22" t="s">
        <v>0</v>
      </c>
      <c r="AJ88" s="22" t="s">
        <v>0</v>
      </c>
      <c r="AK88" s="22" t="s">
        <v>0</v>
      </c>
    </row>
    <row r="89" spans="1:37">
      <c r="A89" s="27"/>
      <c r="B89" s="27"/>
      <c r="C89" s="22" t="s">
        <v>62</v>
      </c>
      <c r="D89" s="22">
        <v>76.452557</v>
      </c>
      <c r="E89" s="22">
        <v>451.638932</v>
      </c>
      <c r="F89" s="22">
        <v>0.644075</v>
      </c>
      <c r="G89" s="22">
        <v>0.443533</v>
      </c>
      <c r="H89" s="22">
        <v>129.275098</v>
      </c>
      <c r="I89" s="22">
        <v>0.658965</v>
      </c>
      <c r="J89" s="22">
        <v>20210781</v>
      </c>
      <c r="K89" s="22">
        <v>77.103546</v>
      </c>
      <c r="L89" s="42" t="s">
        <v>0</v>
      </c>
      <c r="M89" s="42" t="s">
        <v>0</v>
      </c>
      <c r="N89" s="42" t="s">
        <v>0</v>
      </c>
      <c r="O89" s="42" t="s">
        <v>0</v>
      </c>
      <c r="P89" s="42" t="s">
        <v>0</v>
      </c>
      <c r="Q89" s="42" t="s">
        <v>0</v>
      </c>
      <c r="R89" s="42" t="s">
        <v>0</v>
      </c>
      <c r="S89" s="42" t="s">
        <v>0</v>
      </c>
      <c r="T89" s="42" t="s">
        <v>0</v>
      </c>
      <c r="U89" s="42" t="s">
        <v>0</v>
      </c>
      <c r="V89" s="42" t="s">
        <v>0</v>
      </c>
      <c r="W89" s="42" t="s">
        <v>0</v>
      </c>
      <c r="X89" s="42" t="s">
        <v>0</v>
      </c>
      <c r="Y89" s="42" t="s">
        <v>0</v>
      </c>
      <c r="Z89" s="42" t="s">
        <v>0</v>
      </c>
      <c r="AA89" s="42" t="s">
        <v>0</v>
      </c>
      <c r="AB89" s="42" t="s">
        <v>0</v>
      </c>
      <c r="AC89" s="43" t="s">
        <v>0</v>
      </c>
      <c r="AD89" s="22" t="s">
        <v>0</v>
      </c>
      <c r="AE89" s="22" t="s">
        <v>0</v>
      </c>
      <c r="AF89" s="22" t="s">
        <v>0</v>
      </c>
      <c r="AG89" s="22" t="s">
        <v>0</v>
      </c>
      <c r="AH89" s="22" t="s">
        <v>0</v>
      </c>
      <c r="AI89" s="22" t="s">
        <v>0</v>
      </c>
      <c r="AJ89" s="22" t="s">
        <v>0</v>
      </c>
      <c r="AK89" s="22" t="s">
        <v>0</v>
      </c>
    </row>
    <row r="90" spans="1:37">
      <c r="A90" s="27"/>
      <c r="B90" s="27"/>
      <c r="C90" s="22" t="s">
        <v>63</v>
      </c>
      <c r="D90" s="22">
        <v>125.738621</v>
      </c>
      <c r="E90" s="22">
        <v>3546.751953</v>
      </c>
      <c r="F90" s="22">
        <v>0.655292</v>
      </c>
      <c r="G90" s="22">
        <v>0.942366</v>
      </c>
      <c r="H90" s="22">
        <v>2636.535156</v>
      </c>
      <c r="I90" s="22">
        <v>0.661149</v>
      </c>
      <c r="J90" s="22">
        <v>20806</v>
      </c>
      <c r="K90" s="22">
        <v>0.093275</v>
      </c>
      <c r="L90" s="42" t="s">
        <v>0</v>
      </c>
      <c r="M90" s="42" t="s">
        <v>0</v>
      </c>
      <c r="N90" s="42" t="s">
        <v>0</v>
      </c>
      <c r="O90" s="42" t="s">
        <v>0</v>
      </c>
      <c r="P90" s="42" t="s">
        <v>0</v>
      </c>
      <c r="Q90" s="42" t="s">
        <v>0</v>
      </c>
      <c r="R90" s="42" t="s">
        <v>0</v>
      </c>
      <c r="S90" s="42" t="s">
        <v>0</v>
      </c>
      <c r="T90" s="42" t="s">
        <v>0</v>
      </c>
      <c r="U90" s="42" t="s">
        <v>0</v>
      </c>
      <c r="V90" s="42" t="s">
        <v>0</v>
      </c>
      <c r="W90" s="42" t="s">
        <v>0</v>
      </c>
      <c r="X90" s="42" t="s">
        <v>0</v>
      </c>
      <c r="Y90" s="42" t="s">
        <v>0</v>
      </c>
      <c r="Z90" s="42" t="s">
        <v>0</v>
      </c>
      <c r="AA90" s="42" t="s">
        <v>0</v>
      </c>
      <c r="AB90" s="42" t="s">
        <v>0</v>
      </c>
      <c r="AC90" s="43" t="s">
        <v>0</v>
      </c>
      <c r="AD90" s="22" t="s">
        <v>0</v>
      </c>
      <c r="AE90" s="22" t="s">
        <v>0</v>
      </c>
      <c r="AF90" s="22" t="s">
        <v>0</v>
      </c>
      <c r="AG90" s="22" t="s">
        <v>0</v>
      </c>
      <c r="AH90" s="22" t="s">
        <v>0</v>
      </c>
      <c r="AI90" s="22" t="s">
        <v>0</v>
      </c>
      <c r="AJ90" s="22" t="s">
        <v>0</v>
      </c>
      <c r="AK90" s="22" t="s">
        <v>0</v>
      </c>
    </row>
    <row r="91" spans="1:37">
      <c r="A91" s="27"/>
      <c r="B91" s="28"/>
      <c r="C91" s="22" t="s">
        <v>64</v>
      </c>
      <c r="D91" s="22">
        <v>50.567699</v>
      </c>
      <c r="E91" s="22">
        <v>343.922363</v>
      </c>
      <c r="F91" s="22">
        <v>0.659273</v>
      </c>
      <c r="G91" s="22">
        <v>1.778242</v>
      </c>
      <c r="H91" s="22">
        <v>121.154785</v>
      </c>
      <c r="I91" s="22">
        <v>0.659442</v>
      </c>
      <c r="J91" s="22">
        <v>1807494</v>
      </c>
      <c r="K91" s="22">
        <v>7.436149</v>
      </c>
      <c r="L91" s="42" t="s">
        <v>0</v>
      </c>
      <c r="M91" s="42" t="s">
        <v>0</v>
      </c>
      <c r="N91" s="42" t="s">
        <v>0</v>
      </c>
      <c r="O91" s="42" t="s">
        <v>0</v>
      </c>
      <c r="P91" s="42" t="s">
        <v>0</v>
      </c>
      <c r="Q91" s="42" t="s">
        <v>0</v>
      </c>
      <c r="R91" s="42" t="s">
        <v>0</v>
      </c>
      <c r="S91" s="42" t="s">
        <v>0</v>
      </c>
      <c r="T91" s="42" t="s">
        <v>0</v>
      </c>
      <c r="U91" s="42" t="s">
        <v>0</v>
      </c>
      <c r="V91" s="42" t="s">
        <v>0</v>
      </c>
      <c r="W91" s="42" t="s">
        <v>0</v>
      </c>
      <c r="X91" s="42" t="s">
        <v>0</v>
      </c>
      <c r="Y91" s="42" t="s">
        <v>0</v>
      </c>
      <c r="Z91" s="42" t="s">
        <v>0</v>
      </c>
      <c r="AA91" s="42" t="s">
        <v>0</v>
      </c>
      <c r="AB91" s="42" t="s">
        <v>0</v>
      </c>
      <c r="AC91" s="43" t="s">
        <v>0</v>
      </c>
      <c r="AD91" s="22" t="s">
        <v>0</v>
      </c>
      <c r="AE91" s="22" t="s">
        <v>0</v>
      </c>
      <c r="AF91" s="22" t="s">
        <v>0</v>
      </c>
      <c r="AG91" s="22" t="s">
        <v>0</v>
      </c>
      <c r="AH91" s="22" t="s">
        <v>0</v>
      </c>
      <c r="AI91" s="22" t="s">
        <v>0</v>
      </c>
      <c r="AJ91" s="22" t="s">
        <v>0</v>
      </c>
      <c r="AK91" s="22" t="s">
        <v>0</v>
      </c>
    </row>
    <row r="92" spans="1:37">
      <c r="A92" s="27"/>
      <c r="B92" s="22" t="s">
        <v>65</v>
      </c>
      <c r="C92" s="22" t="s">
        <v>66</v>
      </c>
      <c r="D92" s="22">
        <v>88.882305</v>
      </c>
      <c r="E92" s="22">
        <v>2035.620638</v>
      </c>
      <c r="F92" s="22">
        <v>0.675458</v>
      </c>
      <c r="G92" s="22">
        <v>0.047158</v>
      </c>
      <c r="H92" s="22">
        <v>602.676335</v>
      </c>
      <c r="I92" s="22">
        <v>0.6786</v>
      </c>
      <c r="J92" s="22">
        <v>60657573</v>
      </c>
      <c r="K92" s="22">
        <v>231.404198</v>
      </c>
      <c r="L92" s="42" t="s">
        <v>0</v>
      </c>
      <c r="M92" s="42" t="s">
        <v>0</v>
      </c>
      <c r="N92" s="42" t="s">
        <v>0</v>
      </c>
      <c r="O92" s="42" t="s">
        <v>0</v>
      </c>
      <c r="P92" s="42" t="s">
        <v>0</v>
      </c>
      <c r="Q92" s="42" t="s">
        <v>0</v>
      </c>
      <c r="R92" s="42" t="s">
        <v>0</v>
      </c>
      <c r="S92" s="42" t="s">
        <v>0</v>
      </c>
      <c r="T92" s="42" t="s">
        <v>0</v>
      </c>
      <c r="U92" s="42" t="s">
        <v>0</v>
      </c>
      <c r="V92" s="42" t="s">
        <v>0</v>
      </c>
      <c r="W92" s="42" t="s">
        <v>0</v>
      </c>
      <c r="X92" s="42" t="s">
        <v>0</v>
      </c>
      <c r="Y92" s="42" t="s">
        <v>0</v>
      </c>
      <c r="Z92" s="42" t="s">
        <v>0</v>
      </c>
      <c r="AA92" s="42" t="s">
        <v>0</v>
      </c>
      <c r="AB92" s="42" t="s">
        <v>0</v>
      </c>
      <c r="AC92" s="43" t="s">
        <v>0</v>
      </c>
      <c r="AD92" s="22" t="s">
        <v>0</v>
      </c>
      <c r="AE92" s="22" t="s">
        <v>0</v>
      </c>
      <c r="AF92" s="22" t="s">
        <v>0</v>
      </c>
      <c r="AG92" s="22" t="s">
        <v>0</v>
      </c>
      <c r="AH92" s="22" t="s">
        <v>0</v>
      </c>
      <c r="AI92" s="22" t="s">
        <v>0</v>
      </c>
      <c r="AJ92" s="22" t="s">
        <v>0</v>
      </c>
      <c r="AK92" s="22" t="s">
        <v>0</v>
      </c>
    </row>
    <row r="93" spans="1:37">
      <c r="A93" s="27"/>
      <c r="B93" s="28"/>
      <c r="C93" s="22" t="s">
        <v>67</v>
      </c>
      <c r="D93" s="22">
        <v>1053.960718</v>
      </c>
      <c r="E93" s="22">
        <v>19633.76781</v>
      </c>
      <c r="F93" s="22">
        <v>0.661762</v>
      </c>
      <c r="G93" s="22">
        <v>0.888</v>
      </c>
      <c r="H93" s="22">
        <v>3310.040723</v>
      </c>
      <c r="I93" s="22">
        <v>0.658674</v>
      </c>
      <c r="J93" s="22">
        <v>99140448</v>
      </c>
      <c r="K93" s="22">
        <v>378.231888</v>
      </c>
      <c r="L93" s="42" t="s">
        <v>0</v>
      </c>
      <c r="M93" s="42" t="s">
        <v>0</v>
      </c>
      <c r="N93" s="42" t="s">
        <v>0</v>
      </c>
      <c r="O93" s="42" t="s">
        <v>0</v>
      </c>
      <c r="P93" s="42" t="s">
        <v>0</v>
      </c>
      <c r="Q93" s="42" t="s">
        <v>0</v>
      </c>
      <c r="R93" s="42" t="s">
        <v>0</v>
      </c>
      <c r="S93" s="42" t="s">
        <v>0</v>
      </c>
      <c r="T93" s="42" t="s">
        <v>0</v>
      </c>
      <c r="U93" s="42" t="s">
        <v>0</v>
      </c>
      <c r="V93" s="42" t="s">
        <v>0</v>
      </c>
      <c r="W93" s="42" t="s">
        <v>0</v>
      </c>
      <c r="X93" s="42" t="s">
        <v>0</v>
      </c>
      <c r="Y93" s="42" t="s">
        <v>0</v>
      </c>
      <c r="Z93" s="42" t="s">
        <v>0</v>
      </c>
      <c r="AA93" s="42" t="s">
        <v>0</v>
      </c>
      <c r="AB93" s="42" t="s">
        <v>0</v>
      </c>
      <c r="AC93" s="43" t="s">
        <v>0</v>
      </c>
      <c r="AD93" s="22" t="s">
        <v>0</v>
      </c>
      <c r="AE93" s="22" t="s">
        <v>0</v>
      </c>
      <c r="AF93" s="22" t="s">
        <v>0</v>
      </c>
      <c r="AG93" s="22" t="s">
        <v>0</v>
      </c>
      <c r="AH93" s="22" t="s">
        <v>0</v>
      </c>
      <c r="AI93" s="22" t="s">
        <v>0</v>
      </c>
      <c r="AJ93" s="22" t="s">
        <v>0</v>
      </c>
      <c r="AK93" s="22" t="s">
        <v>0</v>
      </c>
    </row>
    <row r="94" spans="1:37">
      <c r="A94" s="27"/>
      <c r="B94" s="22" t="s">
        <v>68</v>
      </c>
      <c r="C94" s="22" t="s">
        <v>69</v>
      </c>
      <c r="D94" s="22">
        <v>1.495757</v>
      </c>
      <c r="E94" s="22">
        <v>416.066895</v>
      </c>
      <c r="F94" s="22">
        <v>0.907774</v>
      </c>
      <c r="G94" s="22">
        <v>47.401912</v>
      </c>
      <c r="H94" s="22">
        <v>1090.070801</v>
      </c>
      <c r="I94" s="22">
        <v>0.637577</v>
      </c>
      <c r="J94" s="22">
        <v>205292928</v>
      </c>
      <c r="K94" s="22">
        <v>391.682762</v>
      </c>
      <c r="L94" s="42" t="s">
        <v>0</v>
      </c>
      <c r="M94" s="42" t="s">
        <v>0</v>
      </c>
      <c r="N94" s="42" t="s">
        <v>0</v>
      </c>
      <c r="O94" s="42" t="s">
        <v>0</v>
      </c>
      <c r="P94" s="42" t="s">
        <v>0</v>
      </c>
      <c r="Q94" s="42" t="s">
        <v>0</v>
      </c>
      <c r="R94" s="42" t="s">
        <v>0</v>
      </c>
      <c r="S94" s="42" t="s">
        <v>0</v>
      </c>
      <c r="T94" s="42" t="s">
        <v>0</v>
      </c>
      <c r="U94" s="42" t="s">
        <v>0</v>
      </c>
      <c r="V94" s="42" t="s">
        <v>0</v>
      </c>
      <c r="W94" s="42" t="s">
        <v>0</v>
      </c>
      <c r="X94" s="42" t="s">
        <v>0</v>
      </c>
      <c r="Y94" s="42" t="s">
        <v>0</v>
      </c>
      <c r="Z94" s="42" t="s">
        <v>0</v>
      </c>
      <c r="AA94" s="42" t="s">
        <v>0</v>
      </c>
      <c r="AB94" s="42" t="s">
        <v>0</v>
      </c>
      <c r="AC94" s="43" t="s">
        <v>0</v>
      </c>
      <c r="AD94" s="22" t="s">
        <v>0</v>
      </c>
      <c r="AE94" s="22" t="s">
        <v>0</v>
      </c>
      <c r="AF94" s="22" t="s">
        <v>0</v>
      </c>
      <c r="AG94" s="22" t="s">
        <v>0</v>
      </c>
      <c r="AH94" s="22" t="s">
        <v>0</v>
      </c>
      <c r="AI94" s="22" t="s">
        <v>0</v>
      </c>
      <c r="AJ94" s="22" t="s">
        <v>0</v>
      </c>
      <c r="AK94" s="22" t="s">
        <v>0</v>
      </c>
    </row>
    <row r="95" spans="1:37">
      <c r="A95" s="27"/>
      <c r="B95" s="27"/>
      <c r="C95" s="22" t="s">
        <v>70</v>
      </c>
      <c r="D95" s="22">
        <v>0.21507</v>
      </c>
      <c r="E95" s="22">
        <v>15.171875</v>
      </c>
      <c r="F95" s="22">
        <v>0.753612</v>
      </c>
      <c r="G95" s="22">
        <v>0.739985</v>
      </c>
      <c r="H95" s="22">
        <v>10659.29082</v>
      </c>
      <c r="I95" s="22">
        <v>0.831838</v>
      </c>
      <c r="J95" s="22">
        <v>1844714</v>
      </c>
      <c r="K95" s="22">
        <v>7.076761</v>
      </c>
      <c r="L95" s="42" t="s">
        <v>0</v>
      </c>
      <c r="M95" s="42" t="s">
        <v>0</v>
      </c>
      <c r="N95" s="42" t="s">
        <v>0</v>
      </c>
      <c r="O95" s="42" t="s">
        <v>0</v>
      </c>
      <c r="P95" s="42" t="s">
        <v>0</v>
      </c>
      <c r="Q95" s="42" t="s">
        <v>0</v>
      </c>
      <c r="R95" s="42" t="s">
        <v>0</v>
      </c>
      <c r="S95" s="42" t="s">
        <v>0</v>
      </c>
      <c r="T95" s="42" t="s">
        <v>0</v>
      </c>
      <c r="U95" s="42" t="s">
        <v>0</v>
      </c>
      <c r="V95" s="42" t="s">
        <v>0</v>
      </c>
      <c r="W95" s="42" t="s">
        <v>0</v>
      </c>
      <c r="X95" s="42" t="s">
        <v>0</v>
      </c>
      <c r="Y95" s="42" t="s">
        <v>0</v>
      </c>
      <c r="Z95" s="42" t="s">
        <v>0</v>
      </c>
      <c r="AA95" s="42" t="s">
        <v>0</v>
      </c>
      <c r="AB95" s="42" t="s">
        <v>0</v>
      </c>
      <c r="AC95" s="43" t="s">
        <v>0</v>
      </c>
      <c r="AD95" s="22" t="s">
        <v>0</v>
      </c>
      <c r="AE95" s="22" t="s">
        <v>0</v>
      </c>
      <c r="AF95" s="22" t="s">
        <v>0</v>
      </c>
      <c r="AG95" s="22" t="s">
        <v>0</v>
      </c>
      <c r="AH95" s="22" t="s">
        <v>0</v>
      </c>
      <c r="AI95" s="22" t="s">
        <v>0</v>
      </c>
      <c r="AJ95" s="22" t="s">
        <v>0</v>
      </c>
      <c r="AK95" s="22" t="s">
        <v>0</v>
      </c>
    </row>
    <row r="96" spans="1:37">
      <c r="A96" s="27"/>
      <c r="B96" s="27"/>
      <c r="C96" s="22" t="s">
        <v>71</v>
      </c>
      <c r="D96" s="22">
        <v>1277.962657</v>
      </c>
      <c r="E96" s="22">
        <v>2960.007617</v>
      </c>
      <c r="F96" s="22">
        <v>0.648686</v>
      </c>
      <c r="G96" s="22">
        <v>8.705867</v>
      </c>
      <c r="H96" s="22">
        <v>2893.419271</v>
      </c>
      <c r="I96" s="22">
        <v>0.647701</v>
      </c>
      <c r="J96" s="22">
        <v>341248520</v>
      </c>
      <c r="K96" s="22">
        <v>1321.389574</v>
      </c>
      <c r="L96" s="42" t="s">
        <v>0</v>
      </c>
      <c r="M96" s="42" t="s">
        <v>0</v>
      </c>
      <c r="N96" s="42" t="s">
        <v>0</v>
      </c>
      <c r="O96" s="42" t="s">
        <v>0</v>
      </c>
      <c r="P96" s="42" t="s">
        <v>0</v>
      </c>
      <c r="Q96" s="42" t="s">
        <v>0</v>
      </c>
      <c r="R96" s="42" t="s">
        <v>0</v>
      </c>
      <c r="S96" s="42" t="s">
        <v>0</v>
      </c>
      <c r="T96" s="42" t="s">
        <v>0</v>
      </c>
      <c r="U96" s="42" t="s">
        <v>0</v>
      </c>
      <c r="V96" s="42" t="s">
        <v>0</v>
      </c>
      <c r="W96" s="42" t="s">
        <v>0</v>
      </c>
      <c r="X96" s="42" t="s">
        <v>0</v>
      </c>
      <c r="Y96" s="42" t="s">
        <v>0</v>
      </c>
      <c r="Z96" s="42" t="s">
        <v>0</v>
      </c>
      <c r="AA96" s="42" t="s">
        <v>0</v>
      </c>
      <c r="AB96" s="42" t="s">
        <v>0</v>
      </c>
      <c r="AC96" s="43" t="s">
        <v>0</v>
      </c>
      <c r="AD96" s="22" t="s">
        <v>0</v>
      </c>
      <c r="AE96" s="22" t="s">
        <v>0</v>
      </c>
      <c r="AF96" s="22" t="s">
        <v>0</v>
      </c>
      <c r="AG96" s="22" t="s">
        <v>0</v>
      </c>
      <c r="AH96" s="22" t="s">
        <v>0</v>
      </c>
      <c r="AI96" s="22" t="s">
        <v>0</v>
      </c>
      <c r="AJ96" s="22" t="s">
        <v>0</v>
      </c>
      <c r="AK96" s="22" t="s">
        <v>0</v>
      </c>
    </row>
    <row r="97" spans="1:37">
      <c r="A97" s="27"/>
      <c r="B97" s="28"/>
      <c r="C97" s="22" t="s">
        <v>72</v>
      </c>
      <c r="D97" s="22">
        <v>49.272972</v>
      </c>
      <c r="E97" s="22">
        <v>409.020508</v>
      </c>
      <c r="F97" s="22">
        <v>0.659847</v>
      </c>
      <c r="G97" s="22">
        <v>0.068045</v>
      </c>
      <c r="H97" s="22">
        <v>361.301107</v>
      </c>
      <c r="I97" s="22">
        <v>0.671839</v>
      </c>
      <c r="J97" s="22">
        <v>462872</v>
      </c>
      <c r="K97" s="22">
        <v>1.810183</v>
      </c>
      <c r="L97" s="42" t="s">
        <v>0</v>
      </c>
      <c r="M97" s="42" t="s">
        <v>0</v>
      </c>
      <c r="N97" s="42" t="s">
        <v>0</v>
      </c>
      <c r="O97" s="42" t="s">
        <v>0</v>
      </c>
      <c r="P97" s="42" t="s">
        <v>0</v>
      </c>
      <c r="Q97" s="42" t="s">
        <v>0</v>
      </c>
      <c r="R97" s="42" t="s">
        <v>0</v>
      </c>
      <c r="S97" s="42" t="s">
        <v>0</v>
      </c>
      <c r="T97" s="42" t="s">
        <v>0</v>
      </c>
      <c r="U97" s="42" t="s">
        <v>0</v>
      </c>
      <c r="V97" s="42" t="s">
        <v>0</v>
      </c>
      <c r="W97" s="42" t="s">
        <v>0</v>
      </c>
      <c r="X97" s="42" t="s">
        <v>0</v>
      </c>
      <c r="Y97" s="42" t="s">
        <v>0</v>
      </c>
      <c r="Z97" s="42" t="s">
        <v>0</v>
      </c>
      <c r="AA97" s="42" t="s">
        <v>0</v>
      </c>
      <c r="AB97" s="42" t="s">
        <v>0</v>
      </c>
      <c r="AC97" s="43" t="s">
        <v>0</v>
      </c>
      <c r="AD97" s="22" t="s">
        <v>0</v>
      </c>
      <c r="AE97" s="22" t="s">
        <v>0</v>
      </c>
      <c r="AF97" s="22" t="s">
        <v>0</v>
      </c>
      <c r="AG97" s="22" t="s">
        <v>0</v>
      </c>
      <c r="AH97" s="22" t="s">
        <v>0</v>
      </c>
      <c r="AI97" s="22" t="s">
        <v>0</v>
      </c>
      <c r="AJ97" s="22" t="s">
        <v>0</v>
      </c>
      <c r="AK97" s="22" t="s">
        <v>0</v>
      </c>
    </row>
    <row r="98" spans="1:37">
      <c r="A98" s="28"/>
      <c r="B98" s="22" t="s">
        <v>73</v>
      </c>
      <c r="C98" s="22" t="s">
        <v>74</v>
      </c>
      <c r="D98" s="22">
        <v>1168.992126</v>
      </c>
      <c r="E98" s="22">
        <v>10698.717155</v>
      </c>
      <c r="F98" s="22">
        <v>0.660926</v>
      </c>
      <c r="G98" s="22">
        <v>66.511047</v>
      </c>
      <c r="H98" s="22">
        <v>1253.533171</v>
      </c>
      <c r="I98" s="22">
        <v>0.641039</v>
      </c>
      <c r="J98" s="22">
        <v>124781454</v>
      </c>
      <c r="K98" s="22">
        <v>476.093115</v>
      </c>
      <c r="L98" s="42" t="s">
        <v>0</v>
      </c>
      <c r="M98" s="42" t="s">
        <v>0</v>
      </c>
      <c r="N98" s="42" t="s">
        <v>0</v>
      </c>
      <c r="O98" s="42" t="s">
        <v>0</v>
      </c>
      <c r="P98" s="42" t="s">
        <v>0</v>
      </c>
      <c r="Q98" s="42" t="s">
        <v>0</v>
      </c>
      <c r="R98" s="42" t="s">
        <v>0</v>
      </c>
      <c r="S98" s="42" t="s">
        <v>0</v>
      </c>
      <c r="T98" s="42" t="s">
        <v>0</v>
      </c>
      <c r="U98" s="42" t="s">
        <v>0</v>
      </c>
      <c r="V98" s="42" t="s">
        <v>0</v>
      </c>
      <c r="W98" s="42" t="s">
        <v>0</v>
      </c>
      <c r="X98" s="42" t="s">
        <v>0</v>
      </c>
      <c r="Y98" s="42" t="s">
        <v>0</v>
      </c>
      <c r="Z98" s="42" t="s">
        <v>0</v>
      </c>
      <c r="AA98" s="42" t="s">
        <v>0</v>
      </c>
      <c r="AB98" s="42" t="s">
        <v>0</v>
      </c>
      <c r="AC98" s="43" t="s">
        <v>0</v>
      </c>
      <c r="AD98" s="22" t="s">
        <v>0</v>
      </c>
      <c r="AE98" s="22" t="s">
        <v>0</v>
      </c>
      <c r="AF98" s="22" t="s">
        <v>0</v>
      </c>
      <c r="AG98" s="22" t="s">
        <v>0</v>
      </c>
      <c r="AH98" s="22" t="s">
        <v>0</v>
      </c>
      <c r="AI98" s="22" t="s">
        <v>0</v>
      </c>
      <c r="AJ98" s="22" t="s">
        <v>0</v>
      </c>
      <c r="AK98" s="22" t="s">
        <v>0</v>
      </c>
    </row>
    <row r="99" spans="1:37">
      <c r="A99" s="47" t="s">
        <v>0</v>
      </c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44"/>
    </row>
    <row r="100" spans="1:37">
      <c r="A100" s="47" t="s">
        <v>76</v>
      </c>
      <c r="B100" s="25" t="s">
        <v>0</v>
      </c>
      <c r="C100" s="22" t="s">
        <v>0</v>
      </c>
      <c r="D100" s="22" t="s">
        <v>84</v>
      </c>
      <c r="E100" s="22" t="s">
        <v>85</v>
      </c>
      <c r="F100" s="22" t="s">
        <v>86</v>
      </c>
      <c r="G100" s="22" t="s">
        <v>87</v>
      </c>
      <c r="H100" s="22" t="s">
        <v>88</v>
      </c>
      <c r="I100" s="22" t="s">
        <v>89</v>
      </c>
      <c r="J100" s="22" t="s">
        <v>91</v>
      </c>
      <c r="K100" s="22" t="s">
        <v>92</v>
      </c>
      <c r="L100" s="42" t="s">
        <v>0</v>
      </c>
      <c r="M100" s="42" t="s">
        <v>0</v>
      </c>
      <c r="N100" s="42" t="s">
        <v>0</v>
      </c>
      <c r="O100" s="42" t="s">
        <v>0</v>
      </c>
      <c r="P100" s="42" t="s">
        <v>0</v>
      </c>
      <c r="Q100" s="42" t="s">
        <v>0</v>
      </c>
      <c r="R100" s="42" t="s">
        <v>0</v>
      </c>
      <c r="S100" s="42" t="s">
        <v>0</v>
      </c>
      <c r="T100" s="42" t="s">
        <v>0</v>
      </c>
      <c r="U100" s="42" t="s">
        <v>0</v>
      </c>
      <c r="V100" s="42" t="s">
        <v>0</v>
      </c>
      <c r="W100" s="42" t="s">
        <v>0</v>
      </c>
      <c r="X100" s="42" t="s">
        <v>0</v>
      </c>
      <c r="Y100" s="42" t="s">
        <v>0</v>
      </c>
      <c r="Z100" s="42" t="s">
        <v>0</v>
      </c>
      <c r="AA100" s="42" t="s">
        <v>0</v>
      </c>
      <c r="AB100" s="42" t="s">
        <v>0</v>
      </c>
      <c r="AC100" s="43" t="s">
        <v>0</v>
      </c>
      <c r="AD100" s="22" t="s">
        <v>0</v>
      </c>
      <c r="AE100" s="22" t="s">
        <v>0</v>
      </c>
      <c r="AF100" s="22" t="s">
        <v>0</v>
      </c>
      <c r="AG100" s="22" t="s">
        <v>0</v>
      </c>
      <c r="AH100" s="22" t="s">
        <v>0</v>
      </c>
      <c r="AI100" s="22" t="s">
        <v>0</v>
      </c>
      <c r="AJ100" s="22" t="s">
        <v>0</v>
      </c>
      <c r="AK100" s="22" t="s">
        <v>0</v>
      </c>
    </row>
    <row r="101" spans="1:37">
      <c r="A101" s="27"/>
      <c r="B101" s="22" t="s">
        <v>33</v>
      </c>
      <c r="C101" s="22" t="s">
        <v>34</v>
      </c>
      <c r="D101" s="23">
        <v>4.467866</v>
      </c>
      <c r="E101" s="23" t="s">
        <v>6</v>
      </c>
      <c r="F101" s="23">
        <v>0.982073</v>
      </c>
      <c r="G101" s="23">
        <v>0.067979</v>
      </c>
      <c r="H101" s="23" t="s">
        <v>6</v>
      </c>
      <c r="I101" s="23">
        <v>0.460477</v>
      </c>
      <c r="J101" s="23" t="s">
        <v>6</v>
      </c>
      <c r="K101" s="23">
        <v>1.105108</v>
      </c>
      <c r="L101" s="42" t="s">
        <v>0</v>
      </c>
      <c r="M101" s="42" t="s">
        <v>0</v>
      </c>
      <c r="N101" s="42" t="s">
        <v>0</v>
      </c>
      <c r="O101" s="42" t="s">
        <v>0</v>
      </c>
      <c r="P101" s="42" t="s">
        <v>0</v>
      </c>
      <c r="Q101" s="42" t="s">
        <v>0</v>
      </c>
      <c r="R101" s="42" t="s">
        <v>0</v>
      </c>
      <c r="S101" s="42" t="s">
        <v>0</v>
      </c>
      <c r="T101" s="42" t="s">
        <v>0</v>
      </c>
      <c r="U101" s="42" t="s">
        <v>0</v>
      </c>
      <c r="V101" s="42" t="s">
        <v>0</v>
      </c>
      <c r="W101" s="42" t="s">
        <v>0</v>
      </c>
      <c r="X101" s="42" t="s">
        <v>0</v>
      </c>
      <c r="Y101" s="42" t="s">
        <v>0</v>
      </c>
      <c r="Z101" s="42" t="s">
        <v>0</v>
      </c>
      <c r="AA101" s="42" t="s">
        <v>0</v>
      </c>
      <c r="AB101" s="42" t="s">
        <v>0</v>
      </c>
      <c r="AC101" s="43" t="s">
        <v>0</v>
      </c>
      <c r="AD101" s="22" t="s">
        <v>0</v>
      </c>
      <c r="AE101" s="22" t="s">
        <v>0</v>
      </c>
      <c r="AF101" s="22" t="s">
        <v>0</v>
      </c>
      <c r="AG101" s="22" t="s">
        <v>0</v>
      </c>
      <c r="AH101" s="22" t="s">
        <v>0</v>
      </c>
      <c r="AI101" s="22" t="s">
        <v>0</v>
      </c>
      <c r="AJ101" s="22" t="s">
        <v>0</v>
      </c>
      <c r="AK101" s="22" t="s">
        <v>0</v>
      </c>
    </row>
    <row r="102" spans="1:37">
      <c r="A102" s="27"/>
      <c r="B102" s="27"/>
      <c r="C102" s="22" t="s">
        <v>35</v>
      </c>
      <c r="D102" s="23">
        <v>1.952564</v>
      </c>
      <c r="E102" s="23" t="s">
        <v>6</v>
      </c>
      <c r="F102" s="23">
        <v>0.652888</v>
      </c>
      <c r="G102" s="23">
        <v>0.056688</v>
      </c>
      <c r="H102" s="23" t="s">
        <v>6</v>
      </c>
      <c r="I102" s="23">
        <v>0.386463</v>
      </c>
      <c r="J102" s="23" t="s">
        <v>6</v>
      </c>
      <c r="K102" s="23">
        <v>0.955631</v>
      </c>
      <c r="L102" s="42" t="s">
        <v>0</v>
      </c>
      <c r="M102" s="42" t="s">
        <v>0</v>
      </c>
      <c r="N102" s="42" t="s">
        <v>0</v>
      </c>
      <c r="O102" s="42" t="s">
        <v>0</v>
      </c>
      <c r="P102" s="42" t="s">
        <v>0</v>
      </c>
      <c r="Q102" s="42" t="s">
        <v>0</v>
      </c>
      <c r="R102" s="42" t="s">
        <v>0</v>
      </c>
      <c r="S102" s="42" t="s">
        <v>0</v>
      </c>
      <c r="T102" s="42" t="s">
        <v>0</v>
      </c>
      <c r="U102" s="42" t="s">
        <v>0</v>
      </c>
      <c r="V102" s="42" t="s">
        <v>0</v>
      </c>
      <c r="W102" s="42" t="s">
        <v>0</v>
      </c>
      <c r="X102" s="42" t="s">
        <v>0</v>
      </c>
      <c r="Y102" s="42" t="s">
        <v>0</v>
      </c>
      <c r="Z102" s="42" t="s">
        <v>0</v>
      </c>
      <c r="AA102" s="42" t="s">
        <v>0</v>
      </c>
      <c r="AB102" s="42" t="s">
        <v>0</v>
      </c>
      <c r="AC102" s="43" t="s">
        <v>0</v>
      </c>
      <c r="AD102" s="22" t="s">
        <v>0</v>
      </c>
      <c r="AE102" s="22" t="s">
        <v>0</v>
      </c>
      <c r="AF102" s="22" t="s">
        <v>0</v>
      </c>
      <c r="AG102" s="22" t="s">
        <v>0</v>
      </c>
      <c r="AH102" s="22" t="s">
        <v>0</v>
      </c>
      <c r="AI102" s="22" t="s">
        <v>0</v>
      </c>
      <c r="AJ102" s="22" t="s">
        <v>0</v>
      </c>
      <c r="AK102" s="22" t="s">
        <v>0</v>
      </c>
    </row>
    <row r="103" spans="1:37">
      <c r="A103" s="27"/>
      <c r="B103" s="28"/>
      <c r="C103" s="22" t="s">
        <v>36</v>
      </c>
      <c r="D103" s="23">
        <v>49.192959</v>
      </c>
      <c r="E103" s="23" t="s">
        <v>6</v>
      </c>
      <c r="F103" s="23">
        <v>1.286601</v>
      </c>
      <c r="G103" s="23">
        <v>2.803449</v>
      </c>
      <c r="H103" s="23" t="s">
        <v>6</v>
      </c>
      <c r="I103" s="23">
        <v>1.127358</v>
      </c>
      <c r="J103" s="23" t="s">
        <v>6</v>
      </c>
      <c r="K103" s="23">
        <v>403.168693</v>
      </c>
      <c r="L103" s="42" t="s">
        <v>0</v>
      </c>
      <c r="M103" s="42" t="s">
        <v>0</v>
      </c>
      <c r="N103" s="42" t="s">
        <v>0</v>
      </c>
      <c r="O103" s="42" t="s">
        <v>0</v>
      </c>
      <c r="P103" s="42" t="s">
        <v>0</v>
      </c>
      <c r="Q103" s="42" t="s">
        <v>0</v>
      </c>
      <c r="R103" s="42" t="s">
        <v>0</v>
      </c>
      <c r="S103" s="42" t="s">
        <v>0</v>
      </c>
      <c r="T103" s="42" t="s">
        <v>0</v>
      </c>
      <c r="U103" s="42" t="s">
        <v>0</v>
      </c>
      <c r="V103" s="42" t="s">
        <v>0</v>
      </c>
      <c r="W103" s="42" t="s">
        <v>0</v>
      </c>
      <c r="X103" s="42" t="s">
        <v>0</v>
      </c>
      <c r="Y103" s="42" t="s">
        <v>0</v>
      </c>
      <c r="Z103" s="42" t="s">
        <v>0</v>
      </c>
      <c r="AA103" s="42" t="s">
        <v>0</v>
      </c>
      <c r="AB103" s="42" t="s">
        <v>0</v>
      </c>
      <c r="AC103" s="43" t="s">
        <v>0</v>
      </c>
      <c r="AD103" s="22" t="s">
        <v>0</v>
      </c>
      <c r="AE103" s="22" t="s">
        <v>0</v>
      </c>
      <c r="AF103" s="22" t="s">
        <v>0</v>
      </c>
      <c r="AG103" s="22" t="s">
        <v>0</v>
      </c>
      <c r="AH103" s="22" t="s">
        <v>0</v>
      </c>
      <c r="AI103" s="22" t="s">
        <v>0</v>
      </c>
      <c r="AJ103" s="22" t="s">
        <v>0</v>
      </c>
      <c r="AK103" s="22" t="s">
        <v>0</v>
      </c>
    </row>
    <row r="104" spans="1:37">
      <c r="A104" s="27"/>
      <c r="B104" s="22" t="s">
        <v>37</v>
      </c>
      <c r="C104" s="22" t="s">
        <v>38</v>
      </c>
      <c r="D104" s="23">
        <v>238.401135</v>
      </c>
      <c r="E104" s="23" t="s">
        <v>6</v>
      </c>
      <c r="F104" s="23">
        <v>0.658716</v>
      </c>
      <c r="G104" s="23">
        <v>12.097212</v>
      </c>
      <c r="H104" s="23" t="s">
        <v>6</v>
      </c>
      <c r="I104" s="23">
        <v>0.655823</v>
      </c>
      <c r="J104" s="23" t="s">
        <v>6</v>
      </c>
      <c r="K104" s="23">
        <v>771.2</v>
      </c>
      <c r="L104" s="42" t="s">
        <v>0</v>
      </c>
      <c r="M104" s="42" t="s">
        <v>0</v>
      </c>
      <c r="N104" s="42" t="s">
        <v>0</v>
      </c>
      <c r="O104" s="42" t="s">
        <v>0</v>
      </c>
      <c r="P104" s="42" t="s">
        <v>0</v>
      </c>
      <c r="Q104" s="42" t="s">
        <v>0</v>
      </c>
      <c r="R104" s="42" t="s">
        <v>0</v>
      </c>
      <c r="S104" s="42" t="s">
        <v>0</v>
      </c>
      <c r="T104" s="42" t="s">
        <v>0</v>
      </c>
      <c r="U104" s="42" t="s">
        <v>0</v>
      </c>
      <c r="V104" s="42" t="s">
        <v>0</v>
      </c>
      <c r="W104" s="42" t="s">
        <v>0</v>
      </c>
      <c r="X104" s="42" t="s">
        <v>0</v>
      </c>
      <c r="Y104" s="42" t="s">
        <v>0</v>
      </c>
      <c r="Z104" s="42" t="s">
        <v>0</v>
      </c>
      <c r="AA104" s="42" t="s">
        <v>0</v>
      </c>
      <c r="AB104" s="42" t="s">
        <v>0</v>
      </c>
      <c r="AC104" s="43" t="s">
        <v>0</v>
      </c>
      <c r="AD104" s="22" t="s">
        <v>0</v>
      </c>
      <c r="AE104" s="22" t="s">
        <v>0</v>
      </c>
      <c r="AF104" s="22" t="s">
        <v>0</v>
      </c>
      <c r="AG104" s="22" t="s">
        <v>0</v>
      </c>
      <c r="AH104" s="22" t="s">
        <v>0</v>
      </c>
      <c r="AI104" s="22" t="s">
        <v>0</v>
      </c>
      <c r="AJ104" s="22" t="s">
        <v>0</v>
      </c>
      <c r="AK104" s="22" t="s">
        <v>0</v>
      </c>
    </row>
    <row r="105" spans="1:37">
      <c r="A105" s="27"/>
      <c r="B105" s="27"/>
      <c r="C105" s="22" t="s">
        <v>39</v>
      </c>
      <c r="D105" s="23">
        <v>2.336557</v>
      </c>
      <c r="E105" s="23" t="s">
        <v>6</v>
      </c>
      <c r="F105" s="23">
        <v>0.608532</v>
      </c>
      <c r="G105" s="23">
        <v>0.043428</v>
      </c>
      <c r="H105" s="23" t="s">
        <v>6</v>
      </c>
      <c r="I105" s="23">
        <v>0.11873</v>
      </c>
      <c r="J105" s="23" t="s">
        <v>6</v>
      </c>
      <c r="K105" s="23">
        <v>4.336257</v>
      </c>
      <c r="L105" s="42" t="s">
        <v>0</v>
      </c>
      <c r="M105" s="42" t="s">
        <v>0</v>
      </c>
      <c r="N105" s="42" t="s">
        <v>0</v>
      </c>
      <c r="O105" s="42" t="s">
        <v>0</v>
      </c>
      <c r="P105" s="42" t="s">
        <v>0</v>
      </c>
      <c r="Q105" s="42" t="s">
        <v>0</v>
      </c>
      <c r="R105" s="42" t="s">
        <v>0</v>
      </c>
      <c r="S105" s="42" t="s">
        <v>0</v>
      </c>
      <c r="T105" s="42" t="s">
        <v>0</v>
      </c>
      <c r="U105" s="42" t="s">
        <v>0</v>
      </c>
      <c r="V105" s="42" t="s">
        <v>0</v>
      </c>
      <c r="W105" s="42" t="s">
        <v>0</v>
      </c>
      <c r="X105" s="42" t="s">
        <v>0</v>
      </c>
      <c r="Y105" s="42" t="s">
        <v>0</v>
      </c>
      <c r="Z105" s="42" t="s">
        <v>0</v>
      </c>
      <c r="AA105" s="42" t="s">
        <v>0</v>
      </c>
      <c r="AB105" s="42" t="s">
        <v>0</v>
      </c>
      <c r="AC105" s="43" t="s">
        <v>0</v>
      </c>
      <c r="AD105" s="22" t="s">
        <v>0</v>
      </c>
      <c r="AE105" s="22" t="s">
        <v>0</v>
      </c>
      <c r="AF105" s="22" t="s">
        <v>0</v>
      </c>
      <c r="AG105" s="22" t="s">
        <v>0</v>
      </c>
      <c r="AH105" s="22" t="s">
        <v>0</v>
      </c>
      <c r="AI105" s="22" t="s">
        <v>0</v>
      </c>
      <c r="AJ105" s="22" t="s">
        <v>0</v>
      </c>
      <c r="AK105" s="22" t="s">
        <v>0</v>
      </c>
    </row>
    <row r="106" spans="1:37">
      <c r="A106" s="27"/>
      <c r="B106" s="27"/>
      <c r="C106" s="22" t="s">
        <v>40</v>
      </c>
      <c r="D106" s="23">
        <v>2916.472931</v>
      </c>
      <c r="E106" s="23" t="s">
        <v>6</v>
      </c>
      <c r="F106" s="23">
        <v>1.295455</v>
      </c>
      <c r="G106" s="23">
        <v>1.889231</v>
      </c>
      <c r="H106" s="23" t="s">
        <v>6</v>
      </c>
      <c r="I106" s="23">
        <v>0.68661</v>
      </c>
      <c r="J106" s="23" t="s">
        <v>6</v>
      </c>
      <c r="K106" s="23" t="s">
        <v>94</v>
      </c>
      <c r="L106" s="42" t="s">
        <v>0</v>
      </c>
      <c r="M106" s="42" t="s">
        <v>0</v>
      </c>
      <c r="N106" s="42" t="s">
        <v>0</v>
      </c>
      <c r="O106" s="42" t="s">
        <v>0</v>
      </c>
      <c r="P106" s="42" t="s">
        <v>0</v>
      </c>
      <c r="Q106" s="42" t="s">
        <v>0</v>
      </c>
      <c r="R106" s="42" t="s">
        <v>0</v>
      </c>
      <c r="S106" s="42" t="s">
        <v>0</v>
      </c>
      <c r="T106" s="42" t="s">
        <v>0</v>
      </c>
      <c r="U106" s="42" t="s">
        <v>0</v>
      </c>
      <c r="V106" s="42" t="s">
        <v>0</v>
      </c>
      <c r="W106" s="42" t="s">
        <v>0</v>
      </c>
      <c r="X106" s="42" t="s">
        <v>0</v>
      </c>
      <c r="Y106" s="42" t="s">
        <v>0</v>
      </c>
      <c r="Z106" s="42" t="s">
        <v>0</v>
      </c>
      <c r="AA106" s="42" t="s">
        <v>0</v>
      </c>
      <c r="AB106" s="42" t="s">
        <v>0</v>
      </c>
      <c r="AC106" s="43" t="s">
        <v>0</v>
      </c>
      <c r="AD106" s="22" t="s">
        <v>0</v>
      </c>
      <c r="AE106" s="22" t="s">
        <v>0</v>
      </c>
      <c r="AF106" s="22" t="s">
        <v>0</v>
      </c>
      <c r="AG106" s="22" t="s">
        <v>0</v>
      </c>
      <c r="AH106" s="22" t="s">
        <v>0</v>
      </c>
      <c r="AI106" s="22" t="s">
        <v>0</v>
      </c>
      <c r="AJ106" s="22" t="s">
        <v>0</v>
      </c>
      <c r="AK106" s="22" t="s">
        <v>0</v>
      </c>
    </row>
    <row r="107" spans="1:37">
      <c r="A107" s="27"/>
      <c r="B107" s="27"/>
      <c r="C107" s="22" t="s">
        <v>41</v>
      </c>
      <c r="D107" s="23">
        <v>61.548552</v>
      </c>
      <c r="E107" s="23" t="s">
        <v>6</v>
      </c>
      <c r="F107" s="23">
        <v>2.137408</v>
      </c>
      <c r="G107" s="23">
        <v>3.383617</v>
      </c>
      <c r="H107" s="23" t="s">
        <v>6</v>
      </c>
      <c r="I107" s="23">
        <v>2.039081</v>
      </c>
      <c r="J107" s="23" t="s">
        <v>6</v>
      </c>
      <c r="K107" s="23">
        <v>803.901683</v>
      </c>
      <c r="L107" s="42" t="s">
        <v>0</v>
      </c>
      <c r="M107" s="42" t="s">
        <v>0</v>
      </c>
      <c r="N107" s="42" t="s">
        <v>0</v>
      </c>
      <c r="O107" s="42" t="s">
        <v>0</v>
      </c>
      <c r="P107" s="42" t="s">
        <v>0</v>
      </c>
      <c r="Q107" s="42" t="s">
        <v>0</v>
      </c>
      <c r="R107" s="42" t="s">
        <v>0</v>
      </c>
      <c r="S107" s="42" t="s">
        <v>0</v>
      </c>
      <c r="T107" s="42" t="s">
        <v>0</v>
      </c>
      <c r="U107" s="42" t="s">
        <v>0</v>
      </c>
      <c r="V107" s="42" t="s">
        <v>0</v>
      </c>
      <c r="W107" s="42" t="s">
        <v>0</v>
      </c>
      <c r="X107" s="42" t="s">
        <v>0</v>
      </c>
      <c r="Y107" s="42" t="s">
        <v>0</v>
      </c>
      <c r="Z107" s="42" t="s">
        <v>0</v>
      </c>
      <c r="AA107" s="42" t="s">
        <v>0</v>
      </c>
      <c r="AB107" s="42" t="s">
        <v>0</v>
      </c>
      <c r="AC107" s="43" t="s">
        <v>0</v>
      </c>
      <c r="AD107" s="22" t="s">
        <v>0</v>
      </c>
      <c r="AE107" s="22" t="s">
        <v>0</v>
      </c>
      <c r="AF107" s="22" t="s">
        <v>0</v>
      </c>
      <c r="AG107" s="22" t="s">
        <v>0</v>
      </c>
      <c r="AH107" s="22" t="s">
        <v>0</v>
      </c>
      <c r="AI107" s="22" t="s">
        <v>0</v>
      </c>
      <c r="AJ107" s="22" t="s">
        <v>0</v>
      </c>
      <c r="AK107" s="22" t="s">
        <v>0</v>
      </c>
    </row>
    <row r="108" spans="1:37">
      <c r="A108" s="27"/>
      <c r="B108" s="27"/>
      <c r="C108" s="22" t="s">
        <v>42</v>
      </c>
      <c r="D108" s="23">
        <v>1.774045</v>
      </c>
      <c r="E108" s="23" t="s">
        <v>6</v>
      </c>
      <c r="F108" s="23">
        <v>1.058909</v>
      </c>
      <c r="G108" s="23">
        <v>0.069533</v>
      </c>
      <c r="H108" s="23" t="s">
        <v>6</v>
      </c>
      <c r="I108" s="23">
        <v>0.19954</v>
      </c>
      <c r="J108" s="23" t="s">
        <v>6</v>
      </c>
      <c r="K108" s="23">
        <v>1.567974</v>
      </c>
      <c r="L108" s="42" t="s">
        <v>0</v>
      </c>
      <c r="M108" s="42" t="s">
        <v>0</v>
      </c>
      <c r="N108" s="42" t="s">
        <v>0</v>
      </c>
      <c r="O108" s="42" t="s">
        <v>0</v>
      </c>
      <c r="P108" s="42" t="s">
        <v>0</v>
      </c>
      <c r="Q108" s="42" t="s">
        <v>0</v>
      </c>
      <c r="R108" s="42" t="s">
        <v>0</v>
      </c>
      <c r="S108" s="42" t="s">
        <v>0</v>
      </c>
      <c r="T108" s="42" t="s">
        <v>0</v>
      </c>
      <c r="U108" s="42" t="s">
        <v>0</v>
      </c>
      <c r="V108" s="42" t="s">
        <v>0</v>
      </c>
      <c r="W108" s="42" t="s">
        <v>0</v>
      </c>
      <c r="X108" s="42" t="s">
        <v>0</v>
      </c>
      <c r="Y108" s="42" t="s">
        <v>0</v>
      </c>
      <c r="Z108" s="42" t="s">
        <v>0</v>
      </c>
      <c r="AA108" s="42" t="s">
        <v>0</v>
      </c>
      <c r="AB108" s="42" t="s">
        <v>0</v>
      </c>
      <c r="AC108" s="43" t="s">
        <v>0</v>
      </c>
      <c r="AD108" s="22" t="s">
        <v>0</v>
      </c>
      <c r="AE108" s="22" t="s">
        <v>0</v>
      </c>
      <c r="AF108" s="22" t="s">
        <v>0</v>
      </c>
      <c r="AG108" s="22" t="s">
        <v>0</v>
      </c>
      <c r="AH108" s="22" t="s">
        <v>0</v>
      </c>
      <c r="AI108" s="22" t="s">
        <v>0</v>
      </c>
      <c r="AJ108" s="22" t="s">
        <v>0</v>
      </c>
      <c r="AK108" s="22" t="s">
        <v>0</v>
      </c>
    </row>
    <row r="109" spans="1:37">
      <c r="A109" s="27"/>
      <c r="B109" s="27"/>
      <c r="C109" s="22" t="s">
        <v>43</v>
      </c>
      <c r="D109" s="23">
        <v>97.335477</v>
      </c>
      <c r="E109" s="23" t="s">
        <v>6</v>
      </c>
      <c r="F109" s="23">
        <v>0.676643</v>
      </c>
      <c r="G109" s="23">
        <v>2.896481</v>
      </c>
      <c r="H109" s="23" t="s">
        <v>6</v>
      </c>
      <c r="I109" s="23">
        <v>0.62713</v>
      </c>
      <c r="J109" s="23" t="s">
        <v>6</v>
      </c>
      <c r="K109" s="23">
        <v>15.335254</v>
      </c>
      <c r="L109" s="42" t="s">
        <v>0</v>
      </c>
      <c r="M109" s="42" t="s">
        <v>0</v>
      </c>
      <c r="N109" s="42" t="s">
        <v>0</v>
      </c>
      <c r="O109" s="42" t="s">
        <v>0</v>
      </c>
      <c r="P109" s="42" t="s">
        <v>0</v>
      </c>
      <c r="Q109" s="42" t="s">
        <v>0</v>
      </c>
      <c r="R109" s="42" t="s">
        <v>0</v>
      </c>
      <c r="S109" s="42" t="s">
        <v>0</v>
      </c>
      <c r="T109" s="42" t="s">
        <v>0</v>
      </c>
      <c r="U109" s="42" t="s">
        <v>0</v>
      </c>
      <c r="V109" s="42" t="s">
        <v>0</v>
      </c>
      <c r="W109" s="42" t="s">
        <v>0</v>
      </c>
      <c r="X109" s="42" t="s">
        <v>0</v>
      </c>
      <c r="Y109" s="42" t="s">
        <v>0</v>
      </c>
      <c r="Z109" s="42" t="s">
        <v>0</v>
      </c>
      <c r="AA109" s="42" t="s">
        <v>0</v>
      </c>
      <c r="AB109" s="42" t="s">
        <v>0</v>
      </c>
      <c r="AC109" s="43" t="s">
        <v>0</v>
      </c>
      <c r="AD109" s="22" t="s">
        <v>0</v>
      </c>
      <c r="AE109" s="22" t="s">
        <v>0</v>
      </c>
      <c r="AF109" s="22" t="s">
        <v>0</v>
      </c>
      <c r="AG109" s="22" t="s">
        <v>0</v>
      </c>
      <c r="AH109" s="22" t="s">
        <v>0</v>
      </c>
      <c r="AI109" s="22" t="s">
        <v>0</v>
      </c>
      <c r="AJ109" s="22" t="s">
        <v>0</v>
      </c>
      <c r="AK109" s="22" t="s">
        <v>0</v>
      </c>
    </row>
    <row r="110" spans="1:37">
      <c r="A110" s="27"/>
      <c r="B110" s="27"/>
      <c r="C110" s="22" t="s">
        <v>44</v>
      </c>
      <c r="D110" s="23">
        <v>107.077949</v>
      </c>
      <c r="E110" s="23" t="s">
        <v>6</v>
      </c>
      <c r="F110" s="23">
        <v>2.110878</v>
      </c>
      <c r="G110" s="23">
        <v>4.136862</v>
      </c>
      <c r="H110" s="23" t="s">
        <v>6</v>
      </c>
      <c r="I110" s="23">
        <v>1.927189</v>
      </c>
      <c r="J110" s="23" t="s">
        <v>6</v>
      </c>
      <c r="K110" s="23" t="s">
        <v>95</v>
      </c>
      <c r="L110" s="42" t="s">
        <v>0</v>
      </c>
      <c r="M110" s="42" t="s">
        <v>0</v>
      </c>
      <c r="N110" s="42" t="s">
        <v>0</v>
      </c>
      <c r="O110" s="42" t="s">
        <v>0</v>
      </c>
      <c r="P110" s="42" t="s">
        <v>0</v>
      </c>
      <c r="Q110" s="42" t="s">
        <v>0</v>
      </c>
      <c r="R110" s="42" t="s">
        <v>0</v>
      </c>
      <c r="S110" s="42" t="s">
        <v>0</v>
      </c>
      <c r="T110" s="42" t="s">
        <v>0</v>
      </c>
      <c r="U110" s="42" t="s">
        <v>0</v>
      </c>
      <c r="V110" s="42" t="s">
        <v>0</v>
      </c>
      <c r="W110" s="42" t="s">
        <v>0</v>
      </c>
      <c r="X110" s="42" t="s">
        <v>0</v>
      </c>
      <c r="Y110" s="42" t="s">
        <v>0</v>
      </c>
      <c r="Z110" s="42" t="s">
        <v>0</v>
      </c>
      <c r="AA110" s="42" t="s">
        <v>0</v>
      </c>
      <c r="AB110" s="42" t="s">
        <v>0</v>
      </c>
      <c r="AC110" s="43" t="s">
        <v>0</v>
      </c>
      <c r="AD110" s="22" t="s">
        <v>0</v>
      </c>
      <c r="AE110" s="22" t="s">
        <v>0</v>
      </c>
      <c r="AF110" s="22" t="s">
        <v>0</v>
      </c>
      <c r="AG110" s="22" t="s">
        <v>0</v>
      </c>
      <c r="AH110" s="22" t="s">
        <v>0</v>
      </c>
      <c r="AI110" s="22" t="s">
        <v>0</v>
      </c>
      <c r="AJ110" s="22" t="s">
        <v>0</v>
      </c>
      <c r="AK110" s="22" t="s">
        <v>0</v>
      </c>
    </row>
    <row r="111" spans="1:37">
      <c r="A111" s="27"/>
      <c r="B111" s="28"/>
      <c r="C111" s="22" t="s">
        <v>45</v>
      </c>
      <c r="D111" s="23">
        <v>310.471605</v>
      </c>
      <c r="E111" s="23" t="s">
        <v>6</v>
      </c>
      <c r="F111" s="23">
        <v>0.663829</v>
      </c>
      <c r="G111" s="23">
        <v>4.478758</v>
      </c>
      <c r="H111" s="23" t="s">
        <v>6</v>
      </c>
      <c r="I111" s="23">
        <v>0.633651</v>
      </c>
      <c r="J111" s="23" t="s">
        <v>6</v>
      </c>
      <c r="K111" s="23">
        <v>20.725268</v>
      </c>
      <c r="L111" s="42" t="s">
        <v>0</v>
      </c>
      <c r="M111" s="42" t="s">
        <v>0</v>
      </c>
      <c r="N111" s="42" t="s">
        <v>0</v>
      </c>
      <c r="O111" s="42" t="s">
        <v>0</v>
      </c>
      <c r="P111" s="42" t="s">
        <v>0</v>
      </c>
      <c r="Q111" s="42" t="s">
        <v>0</v>
      </c>
      <c r="R111" s="42" t="s">
        <v>0</v>
      </c>
      <c r="S111" s="42" t="s">
        <v>0</v>
      </c>
      <c r="T111" s="42" t="s">
        <v>0</v>
      </c>
      <c r="U111" s="42" t="s">
        <v>0</v>
      </c>
      <c r="V111" s="42" t="s">
        <v>0</v>
      </c>
      <c r="W111" s="42" t="s">
        <v>0</v>
      </c>
      <c r="X111" s="42" t="s">
        <v>0</v>
      </c>
      <c r="Y111" s="42" t="s">
        <v>0</v>
      </c>
      <c r="Z111" s="42" t="s">
        <v>0</v>
      </c>
      <c r="AA111" s="42" t="s">
        <v>0</v>
      </c>
      <c r="AB111" s="42" t="s">
        <v>0</v>
      </c>
      <c r="AC111" s="43" t="s">
        <v>0</v>
      </c>
      <c r="AD111" s="22" t="s">
        <v>0</v>
      </c>
      <c r="AE111" s="22" t="s">
        <v>0</v>
      </c>
      <c r="AF111" s="22" t="s">
        <v>0</v>
      </c>
      <c r="AG111" s="22" t="s">
        <v>0</v>
      </c>
      <c r="AH111" s="22" t="s">
        <v>0</v>
      </c>
      <c r="AI111" s="22" t="s">
        <v>0</v>
      </c>
      <c r="AJ111" s="22" t="s">
        <v>0</v>
      </c>
      <c r="AK111" s="22" t="s">
        <v>0</v>
      </c>
    </row>
    <row r="112" spans="1:37">
      <c r="A112" s="27"/>
      <c r="B112" s="22" t="s">
        <v>46</v>
      </c>
      <c r="C112" s="22" t="s">
        <v>47</v>
      </c>
      <c r="D112" s="23">
        <v>1719.108944</v>
      </c>
      <c r="E112" s="23">
        <v>196.305176</v>
      </c>
      <c r="F112" s="23">
        <v>2.63505</v>
      </c>
      <c r="G112" s="23">
        <v>83.583843</v>
      </c>
      <c r="H112" s="23">
        <v>38.10791</v>
      </c>
      <c r="I112" s="23">
        <v>2.599548</v>
      </c>
      <c r="J112" s="23">
        <v>1335553</v>
      </c>
      <c r="K112" s="23">
        <v>808.604484</v>
      </c>
      <c r="L112" s="42" t="s">
        <v>0</v>
      </c>
      <c r="M112" s="42" t="s">
        <v>0</v>
      </c>
      <c r="N112" s="42" t="s">
        <v>0</v>
      </c>
      <c r="O112" s="42" t="s">
        <v>0</v>
      </c>
      <c r="P112" s="42" t="s">
        <v>0</v>
      </c>
      <c r="Q112" s="42" t="s">
        <v>0</v>
      </c>
      <c r="R112" s="42" t="s">
        <v>0</v>
      </c>
      <c r="S112" s="42" t="s">
        <v>0</v>
      </c>
      <c r="T112" s="42" t="s">
        <v>0</v>
      </c>
      <c r="U112" s="42" t="s">
        <v>0</v>
      </c>
      <c r="V112" s="42" t="s">
        <v>0</v>
      </c>
      <c r="W112" s="42" t="s">
        <v>0</v>
      </c>
      <c r="X112" s="42" t="s">
        <v>0</v>
      </c>
      <c r="Y112" s="42" t="s">
        <v>0</v>
      </c>
      <c r="Z112" s="42" t="s">
        <v>0</v>
      </c>
      <c r="AA112" s="42" t="s">
        <v>0</v>
      </c>
      <c r="AB112" s="42" t="s">
        <v>0</v>
      </c>
      <c r="AC112" s="43" t="s">
        <v>0</v>
      </c>
      <c r="AD112" s="22" t="s">
        <v>0</v>
      </c>
      <c r="AE112" s="22" t="s">
        <v>0</v>
      </c>
      <c r="AF112" s="22" t="s">
        <v>0</v>
      </c>
      <c r="AG112" s="22" t="s">
        <v>0</v>
      </c>
      <c r="AH112" s="22" t="s">
        <v>0</v>
      </c>
      <c r="AI112" s="22" t="s">
        <v>0</v>
      </c>
      <c r="AJ112" s="22" t="s">
        <v>0</v>
      </c>
      <c r="AK112" s="22" t="s">
        <v>0</v>
      </c>
    </row>
    <row r="113" spans="1:37">
      <c r="A113" s="27"/>
      <c r="B113" s="27"/>
      <c r="C113" s="22" t="s">
        <v>48</v>
      </c>
      <c r="D113" s="23">
        <v>33.558495</v>
      </c>
      <c r="E113" s="23">
        <v>1685.24116</v>
      </c>
      <c r="F113" s="23">
        <v>0.681183</v>
      </c>
      <c r="G113" s="23">
        <v>2.196749</v>
      </c>
      <c r="H113" s="23">
        <v>112.234661</v>
      </c>
      <c r="I113" s="23">
        <v>0.829337</v>
      </c>
      <c r="J113" s="23">
        <v>718988</v>
      </c>
      <c r="K113" s="23">
        <v>787.865397</v>
      </c>
      <c r="L113" s="42" t="s">
        <v>0</v>
      </c>
      <c r="M113" s="42" t="s">
        <v>0</v>
      </c>
      <c r="N113" s="42" t="s">
        <v>0</v>
      </c>
      <c r="O113" s="42" t="s">
        <v>0</v>
      </c>
      <c r="P113" s="42" t="s">
        <v>0</v>
      </c>
      <c r="Q113" s="42" t="s">
        <v>0</v>
      </c>
      <c r="R113" s="42" t="s">
        <v>0</v>
      </c>
      <c r="S113" s="42" t="s">
        <v>0</v>
      </c>
      <c r="T113" s="42" t="s">
        <v>0</v>
      </c>
      <c r="U113" s="42" t="s">
        <v>0</v>
      </c>
      <c r="V113" s="42" t="s">
        <v>0</v>
      </c>
      <c r="W113" s="42" t="s">
        <v>0</v>
      </c>
      <c r="X113" s="42" t="s">
        <v>0</v>
      </c>
      <c r="Y113" s="42" t="s">
        <v>0</v>
      </c>
      <c r="Z113" s="42" t="s">
        <v>0</v>
      </c>
      <c r="AA113" s="42" t="s">
        <v>0</v>
      </c>
      <c r="AB113" s="42" t="s">
        <v>0</v>
      </c>
      <c r="AC113" s="43" t="s">
        <v>0</v>
      </c>
      <c r="AD113" s="22" t="s">
        <v>0</v>
      </c>
      <c r="AE113" s="22" t="s">
        <v>0</v>
      </c>
      <c r="AF113" s="22" t="s">
        <v>0</v>
      </c>
      <c r="AG113" s="22" t="s">
        <v>0</v>
      </c>
      <c r="AH113" s="22" t="s">
        <v>0</v>
      </c>
      <c r="AI113" s="22" t="s">
        <v>0</v>
      </c>
      <c r="AJ113" s="22" t="s">
        <v>0</v>
      </c>
      <c r="AK113" s="22" t="s">
        <v>0</v>
      </c>
    </row>
    <row r="114" spans="1:37">
      <c r="A114" s="27"/>
      <c r="B114" s="27"/>
      <c r="C114" s="22" t="s">
        <v>49</v>
      </c>
      <c r="D114" s="23">
        <v>64.874512</v>
      </c>
      <c r="E114" s="23">
        <v>22.030762</v>
      </c>
      <c r="F114" s="23">
        <v>1.334289</v>
      </c>
      <c r="G114" s="23">
        <v>0.991057</v>
      </c>
      <c r="H114" s="23">
        <v>19.723633</v>
      </c>
      <c r="I114" s="23">
        <v>0.801544</v>
      </c>
      <c r="J114" s="23">
        <v>51772</v>
      </c>
      <c r="K114" s="23">
        <v>788.200969</v>
      </c>
      <c r="L114" s="42" t="s">
        <v>0</v>
      </c>
      <c r="M114" s="42" t="s">
        <v>0</v>
      </c>
      <c r="N114" s="42" t="s">
        <v>0</v>
      </c>
      <c r="O114" s="42" t="s">
        <v>0</v>
      </c>
      <c r="P114" s="42" t="s">
        <v>0</v>
      </c>
      <c r="Q114" s="42" t="s">
        <v>0</v>
      </c>
      <c r="R114" s="42" t="s">
        <v>0</v>
      </c>
      <c r="S114" s="42" t="s">
        <v>0</v>
      </c>
      <c r="T114" s="42" t="s">
        <v>0</v>
      </c>
      <c r="U114" s="42" t="s">
        <v>0</v>
      </c>
      <c r="V114" s="42" t="s">
        <v>0</v>
      </c>
      <c r="W114" s="42" t="s">
        <v>0</v>
      </c>
      <c r="X114" s="42" t="s">
        <v>0</v>
      </c>
      <c r="Y114" s="42" t="s">
        <v>0</v>
      </c>
      <c r="Z114" s="42" t="s">
        <v>0</v>
      </c>
      <c r="AA114" s="42" t="s">
        <v>0</v>
      </c>
      <c r="AB114" s="42" t="s">
        <v>0</v>
      </c>
      <c r="AC114" s="43" t="s">
        <v>0</v>
      </c>
      <c r="AD114" s="22" t="s">
        <v>0</v>
      </c>
      <c r="AE114" s="22" t="s">
        <v>0</v>
      </c>
      <c r="AF114" s="22" t="s">
        <v>0</v>
      </c>
      <c r="AG114" s="22" t="s">
        <v>0</v>
      </c>
      <c r="AH114" s="22" t="s">
        <v>0</v>
      </c>
      <c r="AI114" s="22" t="s">
        <v>0</v>
      </c>
      <c r="AJ114" s="22" t="s">
        <v>0</v>
      </c>
      <c r="AK114" s="22" t="s">
        <v>0</v>
      </c>
    </row>
    <row r="115" spans="1:37">
      <c r="A115" s="27"/>
      <c r="B115" s="27"/>
      <c r="C115" s="22" t="s">
        <v>50</v>
      </c>
      <c r="D115" s="23">
        <v>113.610988</v>
      </c>
      <c r="E115" s="23">
        <v>1835.036621</v>
      </c>
      <c r="F115" s="23">
        <v>1.213937</v>
      </c>
      <c r="G115" s="23">
        <v>0.038169</v>
      </c>
      <c r="H115" s="23">
        <v>250.761197</v>
      </c>
      <c r="I115" s="23">
        <v>1.463712</v>
      </c>
      <c r="J115" s="23">
        <v>6774772</v>
      </c>
      <c r="K115" s="23">
        <v>35.748237</v>
      </c>
      <c r="L115" s="42" t="s">
        <v>0</v>
      </c>
      <c r="M115" s="42" t="s">
        <v>0</v>
      </c>
      <c r="N115" s="42" t="s">
        <v>0</v>
      </c>
      <c r="O115" s="42" t="s">
        <v>0</v>
      </c>
      <c r="P115" s="42" t="s">
        <v>0</v>
      </c>
      <c r="Q115" s="42" t="s">
        <v>0</v>
      </c>
      <c r="R115" s="42" t="s">
        <v>0</v>
      </c>
      <c r="S115" s="42" t="s">
        <v>0</v>
      </c>
      <c r="T115" s="42" t="s">
        <v>0</v>
      </c>
      <c r="U115" s="42" t="s">
        <v>0</v>
      </c>
      <c r="V115" s="42" t="s">
        <v>0</v>
      </c>
      <c r="W115" s="42" t="s">
        <v>0</v>
      </c>
      <c r="X115" s="42" t="s">
        <v>0</v>
      </c>
      <c r="Y115" s="42" t="s">
        <v>0</v>
      </c>
      <c r="Z115" s="42" t="s">
        <v>0</v>
      </c>
      <c r="AA115" s="42" t="s">
        <v>0</v>
      </c>
      <c r="AB115" s="42" t="s">
        <v>0</v>
      </c>
      <c r="AC115" s="43" t="s">
        <v>0</v>
      </c>
      <c r="AD115" s="22" t="s">
        <v>0</v>
      </c>
      <c r="AE115" s="22" t="s">
        <v>0</v>
      </c>
      <c r="AF115" s="22" t="s">
        <v>0</v>
      </c>
      <c r="AG115" s="22" t="s">
        <v>0</v>
      </c>
      <c r="AH115" s="22" t="s">
        <v>0</v>
      </c>
      <c r="AI115" s="22" t="s">
        <v>0</v>
      </c>
      <c r="AJ115" s="22" t="s">
        <v>0</v>
      </c>
      <c r="AK115" s="22" t="s">
        <v>0</v>
      </c>
    </row>
    <row r="116" spans="1:37">
      <c r="A116" s="27"/>
      <c r="B116" s="27"/>
      <c r="C116" s="22" t="s">
        <v>51</v>
      </c>
      <c r="D116" s="22">
        <v>6657.757929</v>
      </c>
      <c r="E116" s="22">
        <v>16981.61537</v>
      </c>
      <c r="F116" s="22">
        <v>1.390826</v>
      </c>
      <c r="G116" s="22">
        <v>1.079171</v>
      </c>
      <c r="H116" s="22">
        <v>6126.326239</v>
      </c>
      <c r="I116" s="22">
        <v>1.546936</v>
      </c>
      <c r="J116" s="22">
        <v>376288</v>
      </c>
      <c r="K116" s="22">
        <v>1.466403</v>
      </c>
      <c r="L116" s="42" t="s">
        <v>0</v>
      </c>
      <c r="M116" s="42" t="s">
        <v>0</v>
      </c>
      <c r="N116" s="42" t="s">
        <v>0</v>
      </c>
      <c r="O116" s="42" t="s">
        <v>0</v>
      </c>
      <c r="P116" s="42" t="s">
        <v>0</v>
      </c>
      <c r="Q116" s="42" t="s">
        <v>0</v>
      </c>
      <c r="R116" s="42" t="s">
        <v>0</v>
      </c>
      <c r="S116" s="42" t="s">
        <v>0</v>
      </c>
      <c r="T116" s="42" t="s">
        <v>0</v>
      </c>
      <c r="U116" s="42" t="s">
        <v>0</v>
      </c>
      <c r="V116" s="42" t="s">
        <v>0</v>
      </c>
      <c r="W116" s="42" t="s">
        <v>0</v>
      </c>
      <c r="X116" s="42" t="s">
        <v>0</v>
      </c>
      <c r="Y116" s="42" t="s">
        <v>0</v>
      </c>
      <c r="Z116" s="42" t="s">
        <v>0</v>
      </c>
      <c r="AA116" s="42" t="s">
        <v>0</v>
      </c>
      <c r="AB116" s="42" t="s">
        <v>0</v>
      </c>
      <c r="AC116" s="43" t="s">
        <v>0</v>
      </c>
      <c r="AD116" s="22" t="s">
        <v>0</v>
      </c>
      <c r="AE116" s="22" t="s">
        <v>0</v>
      </c>
      <c r="AF116" s="22" t="s">
        <v>0</v>
      </c>
      <c r="AG116" s="22" t="s">
        <v>0</v>
      </c>
      <c r="AH116" s="22" t="s">
        <v>0</v>
      </c>
      <c r="AI116" s="22" t="s">
        <v>0</v>
      </c>
      <c r="AJ116" s="22" t="s">
        <v>0</v>
      </c>
      <c r="AK116" s="22" t="s">
        <v>0</v>
      </c>
    </row>
    <row r="117" spans="1:37">
      <c r="A117" s="27"/>
      <c r="B117" s="27"/>
      <c r="C117" s="22" t="s">
        <v>52</v>
      </c>
      <c r="D117" s="22">
        <v>4432.626433</v>
      </c>
      <c r="E117" s="22">
        <v>29068.9707</v>
      </c>
      <c r="F117" s="22">
        <v>0.724772</v>
      </c>
      <c r="G117" s="22">
        <v>0.331093</v>
      </c>
      <c r="H117" s="22">
        <v>3097.464221</v>
      </c>
      <c r="I117" s="22">
        <v>0.867203</v>
      </c>
      <c r="J117" s="22">
        <v>1870300</v>
      </c>
      <c r="K117" s="22">
        <v>41.332891</v>
      </c>
      <c r="L117" s="42" t="s">
        <v>0</v>
      </c>
      <c r="M117" s="42" t="s">
        <v>0</v>
      </c>
      <c r="N117" s="42" t="s">
        <v>0</v>
      </c>
      <c r="O117" s="42" t="s">
        <v>0</v>
      </c>
      <c r="P117" s="42" t="s">
        <v>0</v>
      </c>
      <c r="Q117" s="42" t="s">
        <v>0</v>
      </c>
      <c r="R117" s="42" t="s">
        <v>0</v>
      </c>
      <c r="S117" s="42" t="s">
        <v>0</v>
      </c>
      <c r="T117" s="42" t="s">
        <v>0</v>
      </c>
      <c r="U117" s="42" t="s">
        <v>0</v>
      </c>
      <c r="V117" s="42" t="s">
        <v>0</v>
      </c>
      <c r="W117" s="42" t="s">
        <v>0</v>
      </c>
      <c r="X117" s="42" t="s">
        <v>0</v>
      </c>
      <c r="Y117" s="42" t="s">
        <v>0</v>
      </c>
      <c r="Z117" s="42" t="s">
        <v>0</v>
      </c>
      <c r="AA117" s="42" t="s">
        <v>0</v>
      </c>
      <c r="AB117" s="42" t="s">
        <v>0</v>
      </c>
      <c r="AC117" s="43" t="s">
        <v>0</v>
      </c>
      <c r="AD117" s="22" t="s">
        <v>0</v>
      </c>
      <c r="AE117" s="22" t="s">
        <v>0</v>
      </c>
      <c r="AF117" s="22" t="s">
        <v>0</v>
      </c>
      <c r="AG117" s="22" t="s">
        <v>0</v>
      </c>
      <c r="AH117" s="22" t="s">
        <v>0</v>
      </c>
      <c r="AI117" s="22" t="s">
        <v>0</v>
      </c>
      <c r="AJ117" s="22" t="s">
        <v>0</v>
      </c>
      <c r="AK117" s="22" t="s">
        <v>0</v>
      </c>
    </row>
    <row r="118" spans="1:37">
      <c r="A118" s="27"/>
      <c r="B118" s="27"/>
      <c r="C118" s="22" t="s">
        <v>53</v>
      </c>
      <c r="D118" s="22">
        <v>2140.309503</v>
      </c>
      <c r="E118" s="22">
        <v>47921.57137</v>
      </c>
      <c r="F118" s="22">
        <v>0.911595</v>
      </c>
      <c r="G118" s="22">
        <v>0.202236</v>
      </c>
      <c r="H118" s="22">
        <v>10715.63252</v>
      </c>
      <c r="I118" s="22">
        <v>1.340498</v>
      </c>
      <c r="J118" s="22">
        <v>6807929</v>
      </c>
      <c r="K118" s="22">
        <v>25.993255</v>
      </c>
      <c r="L118" s="42" t="s">
        <v>0</v>
      </c>
      <c r="M118" s="42" t="s">
        <v>0</v>
      </c>
      <c r="N118" s="42" t="s">
        <v>0</v>
      </c>
      <c r="O118" s="42" t="s">
        <v>0</v>
      </c>
      <c r="P118" s="42" t="s">
        <v>0</v>
      </c>
      <c r="Q118" s="42" t="s">
        <v>0</v>
      </c>
      <c r="R118" s="42" t="s">
        <v>0</v>
      </c>
      <c r="S118" s="42" t="s">
        <v>0</v>
      </c>
      <c r="T118" s="42" t="s">
        <v>0</v>
      </c>
      <c r="U118" s="42" t="s">
        <v>0</v>
      </c>
      <c r="V118" s="42" t="s">
        <v>0</v>
      </c>
      <c r="W118" s="42" t="s">
        <v>0</v>
      </c>
      <c r="X118" s="42" t="s">
        <v>0</v>
      </c>
      <c r="Y118" s="42" t="s">
        <v>0</v>
      </c>
      <c r="Z118" s="42" t="s">
        <v>0</v>
      </c>
      <c r="AA118" s="42" t="s">
        <v>0</v>
      </c>
      <c r="AB118" s="42" t="s">
        <v>0</v>
      </c>
      <c r="AC118" s="42" t="s">
        <v>0</v>
      </c>
      <c r="AD118" s="42" t="s">
        <v>0</v>
      </c>
      <c r="AE118" s="42" t="s">
        <v>0</v>
      </c>
      <c r="AF118" s="42" t="s">
        <v>0</v>
      </c>
      <c r="AG118" s="42" t="s">
        <v>0</v>
      </c>
      <c r="AH118" s="42" t="s">
        <v>0</v>
      </c>
      <c r="AI118" s="42" t="s">
        <v>0</v>
      </c>
      <c r="AJ118" s="42" t="s">
        <v>0</v>
      </c>
      <c r="AK118" s="42" t="s">
        <v>0</v>
      </c>
    </row>
    <row r="119" spans="1:37">
      <c r="A119" s="27"/>
      <c r="B119" s="27"/>
      <c r="C119" s="22" t="s">
        <v>54</v>
      </c>
      <c r="D119" s="22">
        <v>290.935152</v>
      </c>
      <c r="E119" s="22">
        <v>78.253216</v>
      </c>
      <c r="F119" s="22">
        <v>1.202464</v>
      </c>
      <c r="G119" s="22">
        <v>1.407627</v>
      </c>
      <c r="H119" s="22">
        <v>60.446087</v>
      </c>
      <c r="I119" s="22">
        <v>1.047447</v>
      </c>
      <c r="J119" s="22">
        <v>603868</v>
      </c>
      <c r="K119" s="22">
        <v>790.300465</v>
      </c>
      <c r="L119" s="42" t="s">
        <v>0</v>
      </c>
      <c r="M119" s="42" t="s">
        <v>0</v>
      </c>
      <c r="N119" s="42" t="s">
        <v>0</v>
      </c>
      <c r="O119" s="42" t="s">
        <v>0</v>
      </c>
      <c r="P119" s="42" t="s">
        <v>0</v>
      </c>
      <c r="Q119" s="42" t="s">
        <v>0</v>
      </c>
      <c r="R119" s="42" t="s">
        <v>0</v>
      </c>
      <c r="S119" s="42" t="s">
        <v>0</v>
      </c>
      <c r="T119" s="42" t="s">
        <v>0</v>
      </c>
      <c r="U119" s="42" t="s">
        <v>0</v>
      </c>
      <c r="V119" s="42" t="s">
        <v>0</v>
      </c>
      <c r="W119" s="42" t="s">
        <v>0</v>
      </c>
      <c r="X119" s="42" t="s">
        <v>0</v>
      </c>
      <c r="Y119" s="42" t="s">
        <v>0</v>
      </c>
      <c r="Z119" s="42" t="s">
        <v>0</v>
      </c>
      <c r="AA119" s="42" t="s">
        <v>0</v>
      </c>
      <c r="AB119" s="42" t="s">
        <v>0</v>
      </c>
      <c r="AC119" s="42" t="s">
        <v>0</v>
      </c>
      <c r="AD119" s="42" t="s">
        <v>0</v>
      </c>
      <c r="AE119" s="42" t="s">
        <v>0</v>
      </c>
      <c r="AF119" s="42" t="s">
        <v>0</v>
      </c>
      <c r="AG119" s="42" t="s">
        <v>0</v>
      </c>
      <c r="AH119" s="42" t="s">
        <v>0</v>
      </c>
      <c r="AI119" s="42" t="s">
        <v>0</v>
      </c>
      <c r="AJ119" s="42" t="s">
        <v>0</v>
      </c>
      <c r="AK119" s="42" t="s">
        <v>0</v>
      </c>
    </row>
    <row r="120" spans="1:37">
      <c r="A120" s="27"/>
      <c r="B120" s="27"/>
      <c r="C120" s="22" t="s">
        <v>55</v>
      </c>
      <c r="D120" s="22">
        <v>207.612188</v>
      </c>
      <c r="E120" s="22">
        <v>598.132812</v>
      </c>
      <c r="F120" s="22">
        <v>1.412015</v>
      </c>
      <c r="G120" s="22">
        <v>0.090718</v>
      </c>
      <c r="H120" s="22">
        <v>210.978095</v>
      </c>
      <c r="I120" s="22">
        <v>1.305465</v>
      </c>
      <c r="J120" s="22">
        <v>4941404</v>
      </c>
      <c r="K120" s="22">
        <v>20.088856</v>
      </c>
      <c r="L120" s="42" t="s">
        <v>0</v>
      </c>
      <c r="M120" s="42" t="s">
        <v>0</v>
      </c>
      <c r="N120" s="42" t="s">
        <v>0</v>
      </c>
      <c r="O120" s="42" t="s">
        <v>0</v>
      </c>
      <c r="P120" s="42" t="s">
        <v>0</v>
      </c>
      <c r="Q120" s="42" t="s">
        <v>0</v>
      </c>
      <c r="R120" s="42" t="s">
        <v>0</v>
      </c>
      <c r="S120" s="42" t="s">
        <v>0</v>
      </c>
      <c r="T120" s="42" t="s">
        <v>0</v>
      </c>
      <c r="U120" s="42" t="s">
        <v>0</v>
      </c>
      <c r="V120" s="42" t="s">
        <v>0</v>
      </c>
      <c r="W120" s="42" t="s">
        <v>0</v>
      </c>
      <c r="X120" s="42" t="s">
        <v>0</v>
      </c>
      <c r="Y120" s="42" t="s">
        <v>0</v>
      </c>
      <c r="Z120" s="42" t="s">
        <v>0</v>
      </c>
      <c r="AA120" s="42" t="s">
        <v>0</v>
      </c>
      <c r="AB120" s="42" t="s">
        <v>0</v>
      </c>
      <c r="AC120" s="42" t="s">
        <v>0</v>
      </c>
      <c r="AD120" s="42" t="s">
        <v>0</v>
      </c>
      <c r="AE120" s="42" t="s">
        <v>0</v>
      </c>
      <c r="AF120" s="42" t="s">
        <v>0</v>
      </c>
      <c r="AG120" s="42" t="s">
        <v>0</v>
      </c>
      <c r="AH120" s="42" t="s">
        <v>0</v>
      </c>
      <c r="AI120" s="42" t="s">
        <v>0</v>
      </c>
      <c r="AJ120" s="42" t="s">
        <v>0</v>
      </c>
      <c r="AK120" s="42" t="s">
        <v>0</v>
      </c>
    </row>
    <row r="121" spans="1:37">
      <c r="A121" s="27"/>
      <c r="B121" s="27"/>
      <c r="C121" s="22" t="s">
        <v>56</v>
      </c>
      <c r="D121" s="22">
        <v>121.921144</v>
      </c>
      <c r="E121" s="22">
        <v>2037.552726</v>
      </c>
      <c r="F121" s="22">
        <v>0.661637</v>
      </c>
      <c r="G121" s="22">
        <v>0.073216</v>
      </c>
      <c r="H121" s="22">
        <v>783.235259</v>
      </c>
      <c r="I121" s="22">
        <v>0.67066</v>
      </c>
      <c r="J121" s="22">
        <v>80279988</v>
      </c>
      <c r="K121" s="22">
        <v>306.332318</v>
      </c>
      <c r="L121" s="42" t="s">
        <v>0</v>
      </c>
      <c r="M121" s="42" t="s">
        <v>0</v>
      </c>
      <c r="N121" s="42" t="s">
        <v>0</v>
      </c>
      <c r="O121" s="42" t="s">
        <v>0</v>
      </c>
      <c r="P121" s="42" t="s">
        <v>0</v>
      </c>
      <c r="Q121" s="42" t="s">
        <v>0</v>
      </c>
      <c r="R121" s="42" t="s">
        <v>0</v>
      </c>
      <c r="S121" s="42" t="s">
        <v>0</v>
      </c>
      <c r="T121" s="42" t="s">
        <v>0</v>
      </c>
      <c r="U121" s="42" t="s">
        <v>0</v>
      </c>
      <c r="V121" s="42" t="s">
        <v>0</v>
      </c>
      <c r="W121" s="42" t="s">
        <v>0</v>
      </c>
      <c r="X121" s="42" t="s">
        <v>0</v>
      </c>
      <c r="Y121" s="42" t="s">
        <v>0</v>
      </c>
      <c r="Z121" s="42" t="s">
        <v>0</v>
      </c>
      <c r="AA121" s="42" t="s">
        <v>0</v>
      </c>
      <c r="AB121" s="42" t="s">
        <v>0</v>
      </c>
      <c r="AC121" s="42" t="s">
        <v>0</v>
      </c>
      <c r="AD121" s="42" t="s">
        <v>0</v>
      </c>
      <c r="AE121" s="42" t="s">
        <v>0</v>
      </c>
      <c r="AF121" s="42" t="s">
        <v>0</v>
      </c>
      <c r="AG121" s="42" t="s">
        <v>0</v>
      </c>
      <c r="AH121" s="42" t="s">
        <v>0</v>
      </c>
      <c r="AI121" s="42" t="s">
        <v>0</v>
      </c>
      <c r="AJ121" s="42" t="s">
        <v>0</v>
      </c>
      <c r="AK121" s="42" t="s">
        <v>0</v>
      </c>
    </row>
    <row r="122" spans="1:37">
      <c r="A122" s="27"/>
      <c r="B122" s="27"/>
      <c r="C122" s="22" t="s">
        <v>57</v>
      </c>
      <c r="D122" s="22">
        <v>7799.637204</v>
      </c>
      <c r="E122" s="22">
        <v>3134.060564</v>
      </c>
      <c r="F122" s="22">
        <v>1.357344</v>
      </c>
      <c r="G122" s="22">
        <v>40.964982</v>
      </c>
      <c r="H122" s="22">
        <v>1589.642528</v>
      </c>
      <c r="I122" s="22">
        <v>1.474877</v>
      </c>
      <c r="J122" s="22">
        <v>57857044</v>
      </c>
      <c r="K122" s="22">
        <v>240.351252</v>
      </c>
      <c r="L122" s="42" t="s">
        <v>0</v>
      </c>
      <c r="M122" s="42" t="s">
        <v>0</v>
      </c>
      <c r="N122" s="42" t="s">
        <v>0</v>
      </c>
      <c r="O122" s="42" t="s">
        <v>0</v>
      </c>
      <c r="P122" s="42" t="s">
        <v>0</v>
      </c>
      <c r="Q122" s="42" t="s">
        <v>0</v>
      </c>
      <c r="R122" s="42" t="s">
        <v>0</v>
      </c>
      <c r="S122" s="42" t="s">
        <v>0</v>
      </c>
      <c r="T122" s="42" t="s">
        <v>0</v>
      </c>
      <c r="U122" s="42" t="s">
        <v>0</v>
      </c>
      <c r="V122" s="42" t="s">
        <v>0</v>
      </c>
      <c r="W122" s="42" t="s">
        <v>0</v>
      </c>
      <c r="X122" s="42" t="s">
        <v>0</v>
      </c>
      <c r="Y122" s="42" t="s">
        <v>0</v>
      </c>
      <c r="Z122" s="42" t="s">
        <v>0</v>
      </c>
      <c r="AA122" s="42" t="s">
        <v>0</v>
      </c>
      <c r="AB122" s="42" t="s">
        <v>0</v>
      </c>
      <c r="AC122" s="42" t="s">
        <v>0</v>
      </c>
      <c r="AD122" s="42" t="s">
        <v>0</v>
      </c>
      <c r="AE122" s="42" t="s">
        <v>0</v>
      </c>
      <c r="AF122" s="42" t="s">
        <v>0</v>
      </c>
      <c r="AG122" s="42" t="s">
        <v>0</v>
      </c>
      <c r="AH122" s="42" t="s">
        <v>0</v>
      </c>
      <c r="AI122" s="42" t="s">
        <v>0</v>
      </c>
      <c r="AJ122" s="42" t="s">
        <v>0</v>
      </c>
      <c r="AK122" s="42" t="s">
        <v>0</v>
      </c>
    </row>
    <row r="123" spans="1:37">
      <c r="A123" s="27"/>
      <c r="B123" s="27"/>
      <c r="C123" s="22" t="s">
        <v>58</v>
      </c>
      <c r="D123" s="22">
        <v>454.127064</v>
      </c>
      <c r="E123" s="22">
        <v>3993.748333</v>
      </c>
      <c r="F123" s="22">
        <v>0.890073</v>
      </c>
      <c r="G123" s="22">
        <v>21.319311</v>
      </c>
      <c r="H123" s="22">
        <v>3842.806531</v>
      </c>
      <c r="I123" s="22">
        <v>0.715281</v>
      </c>
      <c r="J123" s="22">
        <v>66945</v>
      </c>
      <c r="K123" s="22">
        <v>0.262357</v>
      </c>
      <c r="L123" s="42" t="s">
        <v>0</v>
      </c>
      <c r="M123" s="42" t="s">
        <v>0</v>
      </c>
      <c r="N123" s="42" t="s">
        <v>0</v>
      </c>
      <c r="O123" s="42" t="s">
        <v>0</v>
      </c>
      <c r="P123" s="42" t="s">
        <v>0</v>
      </c>
      <c r="Q123" s="42" t="s">
        <v>0</v>
      </c>
      <c r="R123" s="42" t="s">
        <v>0</v>
      </c>
      <c r="S123" s="42" t="s">
        <v>0</v>
      </c>
      <c r="T123" s="42" t="s">
        <v>0</v>
      </c>
      <c r="U123" s="42" t="s">
        <v>0</v>
      </c>
      <c r="V123" s="42" t="s">
        <v>0</v>
      </c>
      <c r="W123" s="42" t="s">
        <v>0</v>
      </c>
      <c r="X123" s="42" t="s">
        <v>0</v>
      </c>
      <c r="Y123" s="42" t="s">
        <v>0</v>
      </c>
      <c r="Z123" s="42" t="s">
        <v>0</v>
      </c>
      <c r="AA123" s="42" t="s">
        <v>0</v>
      </c>
      <c r="AB123" s="42" t="s">
        <v>0</v>
      </c>
      <c r="AC123" s="42" t="s">
        <v>0</v>
      </c>
      <c r="AD123" s="42" t="s">
        <v>0</v>
      </c>
      <c r="AE123" s="42" t="s">
        <v>0</v>
      </c>
      <c r="AF123" s="42" t="s">
        <v>0</v>
      </c>
      <c r="AG123" s="42" t="s">
        <v>0</v>
      </c>
      <c r="AH123" s="42" t="s">
        <v>0</v>
      </c>
      <c r="AI123" s="42" t="s">
        <v>0</v>
      </c>
      <c r="AJ123" s="42" t="s">
        <v>0</v>
      </c>
      <c r="AK123" s="42" t="s">
        <v>0</v>
      </c>
    </row>
    <row r="124" spans="1:37">
      <c r="A124" s="27"/>
      <c r="B124" s="27"/>
      <c r="C124" s="22" t="s">
        <v>59</v>
      </c>
      <c r="D124" s="22">
        <v>647.492587</v>
      </c>
      <c r="E124" s="22">
        <v>49340.63149</v>
      </c>
      <c r="F124" s="22">
        <v>1.577598</v>
      </c>
      <c r="G124" s="22">
        <v>4.176139</v>
      </c>
      <c r="H124" s="22">
        <v>14105.57525</v>
      </c>
      <c r="I124" s="22">
        <v>0.876105</v>
      </c>
      <c r="J124" s="22">
        <v>3206243</v>
      </c>
      <c r="K124" s="22">
        <v>12.238356</v>
      </c>
      <c r="L124" s="42" t="s">
        <v>0</v>
      </c>
      <c r="M124" s="42" t="s">
        <v>0</v>
      </c>
      <c r="N124" s="42" t="s">
        <v>0</v>
      </c>
      <c r="O124" s="42" t="s">
        <v>0</v>
      </c>
      <c r="P124" s="42" t="s">
        <v>0</v>
      </c>
      <c r="Q124" s="42" t="s">
        <v>0</v>
      </c>
      <c r="R124" s="42" t="s">
        <v>0</v>
      </c>
      <c r="S124" s="42" t="s">
        <v>0</v>
      </c>
      <c r="T124" s="42" t="s">
        <v>0</v>
      </c>
      <c r="U124" s="42" t="s">
        <v>0</v>
      </c>
      <c r="V124" s="42" t="s">
        <v>0</v>
      </c>
      <c r="W124" s="42" t="s">
        <v>0</v>
      </c>
      <c r="X124" s="42" t="s">
        <v>0</v>
      </c>
      <c r="Y124" s="42" t="s">
        <v>0</v>
      </c>
      <c r="Z124" s="42" t="s">
        <v>0</v>
      </c>
      <c r="AA124" s="42" t="s">
        <v>0</v>
      </c>
      <c r="AB124" s="42" t="s">
        <v>0</v>
      </c>
      <c r="AC124" s="42" t="s">
        <v>0</v>
      </c>
      <c r="AD124" s="42" t="s">
        <v>0</v>
      </c>
      <c r="AE124" s="42" t="s">
        <v>0</v>
      </c>
      <c r="AF124" s="42" t="s">
        <v>0</v>
      </c>
      <c r="AG124" s="42" t="s">
        <v>0</v>
      </c>
      <c r="AH124" s="42" t="s">
        <v>0</v>
      </c>
      <c r="AI124" s="42" t="s">
        <v>0</v>
      </c>
      <c r="AJ124" s="42" t="s">
        <v>0</v>
      </c>
      <c r="AK124" s="42" t="s">
        <v>0</v>
      </c>
    </row>
    <row r="125" spans="1:37">
      <c r="A125" s="27"/>
      <c r="B125" s="27"/>
      <c r="C125" s="22" t="s">
        <v>60</v>
      </c>
      <c r="D125" s="22">
        <v>574.510718</v>
      </c>
      <c r="E125" s="22">
        <v>12014.99407</v>
      </c>
      <c r="F125" s="22">
        <v>0.659075</v>
      </c>
      <c r="G125" s="22">
        <v>2.458115</v>
      </c>
      <c r="H125" s="22">
        <v>7525.997466</v>
      </c>
      <c r="I125" s="22">
        <v>0.659287</v>
      </c>
      <c r="J125" s="22">
        <v>1310044</v>
      </c>
      <c r="K125" s="22">
        <v>5.005268</v>
      </c>
      <c r="L125" s="42" t="s">
        <v>0</v>
      </c>
      <c r="M125" s="42" t="s">
        <v>0</v>
      </c>
      <c r="N125" s="42" t="s">
        <v>0</v>
      </c>
      <c r="O125" s="42" t="s">
        <v>0</v>
      </c>
      <c r="P125" s="42" t="s">
        <v>0</v>
      </c>
      <c r="Q125" s="42" t="s">
        <v>0</v>
      </c>
      <c r="R125" s="42" t="s">
        <v>0</v>
      </c>
      <c r="S125" s="42" t="s">
        <v>0</v>
      </c>
      <c r="T125" s="42" t="s">
        <v>0</v>
      </c>
      <c r="U125" s="42" t="s">
        <v>0</v>
      </c>
      <c r="V125" s="42" t="s">
        <v>0</v>
      </c>
      <c r="W125" s="42" t="s">
        <v>0</v>
      </c>
      <c r="X125" s="42" t="s">
        <v>0</v>
      </c>
      <c r="Y125" s="42" t="s">
        <v>0</v>
      </c>
      <c r="Z125" s="42" t="s">
        <v>0</v>
      </c>
      <c r="AA125" s="42" t="s">
        <v>0</v>
      </c>
      <c r="AB125" s="42" t="s">
        <v>0</v>
      </c>
      <c r="AC125" s="42" t="s">
        <v>0</v>
      </c>
      <c r="AD125" s="42" t="s">
        <v>0</v>
      </c>
      <c r="AE125" s="42" t="s">
        <v>0</v>
      </c>
      <c r="AF125" s="42" t="s">
        <v>0</v>
      </c>
      <c r="AG125" s="42" t="s">
        <v>0</v>
      </c>
      <c r="AH125" s="42" t="s">
        <v>0</v>
      </c>
      <c r="AI125" s="42" t="s">
        <v>0</v>
      </c>
      <c r="AJ125" s="42" t="s">
        <v>0</v>
      </c>
      <c r="AK125" s="42" t="s">
        <v>0</v>
      </c>
    </row>
    <row r="126" spans="1:37">
      <c r="A126" s="27"/>
      <c r="B126" s="27"/>
      <c r="C126" s="22" t="s">
        <v>61</v>
      </c>
      <c r="D126" s="22">
        <v>114.262535</v>
      </c>
      <c r="E126" s="22">
        <v>249.245117</v>
      </c>
      <c r="F126" s="22">
        <v>1.644626</v>
      </c>
      <c r="G126" s="22">
        <v>1.075899</v>
      </c>
      <c r="H126" s="22">
        <v>165.834473</v>
      </c>
      <c r="I126" s="22">
        <v>1.197867</v>
      </c>
      <c r="J126" s="22">
        <v>141040</v>
      </c>
      <c r="K126" s="22">
        <v>0.543857</v>
      </c>
      <c r="L126" s="42" t="s">
        <v>0</v>
      </c>
      <c r="M126" s="42" t="s">
        <v>0</v>
      </c>
      <c r="N126" s="42" t="s">
        <v>0</v>
      </c>
      <c r="O126" s="42" t="s">
        <v>0</v>
      </c>
      <c r="P126" s="42" t="s">
        <v>0</v>
      </c>
      <c r="Q126" s="42" t="s">
        <v>0</v>
      </c>
      <c r="R126" s="42" t="s">
        <v>0</v>
      </c>
      <c r="S126" s="42" t="s">
        <v>0</v>
      </c>
      <c r="T126" s="42" t="s">
        <v>0</v>
      </c>
      <c r="U126" s="42" t="s">
        <v>0</v>
      </c>
      <c r="V126" s="42" t="s">
        <v>0</v>
      </c>
      <c r="W126" s="42" t="s">
        <v>0</v>
      </c>
      <c r="X126" s="42" t="s">
        <v>0</v>
      </c>
      <c r="Y126" s="42" t="s">
        <v>0</v>
      </c>
      <c r="Z126" s="42" t="s">
        <v>0</v>
      </c>
      <c r="AA126" s="42" t="s">
        <v>0</v>
      </c>
      <c r="AB126" s="42" t="s">
        <v>0</v>
      </c>
      <c r="AC126" s="42" t="s">
        <v>0</v>
      </c>
      <c r="AD126" s="42" t="s">
        <v>0</v>
      </c>
      <c r="AE126" s="42" t="s">
        <v>0</v>
      </c>
      <c r="AF126" s="42" t="s">
        <v>0</v>
      </c>
      <c r="AG126" s="42" t="s">
        <v>0</v>
      </c>
      <c r="AH126" s="42" t="s">
        <v>0</v>
      </c>
      <c r="AI126" s="42" t="s">
        <v>0</v>
      </c>
      <c r="AJ126" s="42" t="s">
        <v>0</v>
      </c>
      <c r="AK126" s="42" t="s">
        <v>0</v>
      </c>
    </row>
    <row r="127" spans="1:37">
      <c r="A127" s="27"/>
      <c r="B127" s="27"/>
      <c r="C127" s="22" t="s">
        <v>62</v>
      </c>
      <c r="D127" s="22">
        <v>247.665754</v>
      </c>
      <c r="E127" s="22">
        <v>5597.718085</v>
      </c>
      <c r="F127" s="22">
        <v>0.633922</v>
      </c>
      <c r="G127" s="22">
        <v>0.701274</v>
      </c>
      <c r="H127" s="22">
        <v>1425.080566</v>
      </c>
      <c r="I127" s="22">
        <v>0.649764</v>
      </c>
      <c r="J127" s="22">
        <v>270439092</v>
      </c>
      <c r="K127" s="22">
        <v>1031.648956</v>
      </c>
      <c r="L127" s="42" t="s">
        <v>0</v>
      </c>
      <c r="M127" s="42" t="s">
        <v>0</v>
      </c>
      <c r="N127" s="42" t="s">
        <v>0</v>
      </c>
      <c r="O127" s="42" t="s">
        <v>0</v>
      </c>
      <c r="P127" s="42" t="s">
        <v>0</v>
      </c>
      <c r="Q127" s="42" t="s">
        <v>0</v>
      </c>
      <c r="R127" s="42" t="s">
        <v>0</v>
      </c>
      <c r="S127" s="42" t="s">
        <v>0</v>
      </c>
      <c r="T127" s="42" t="s">
        <v>0</v>
      </c>
      <c r="U127" s="42" t="s">
        <v>0</v>
      </c>
      <c r="V127" s="42" t="s">
        <v>0</v>
      </c>
      <c r="W127" s="42" t="s">
        <v>0</v>
      </c>
      <c r="X127" s="42" t="s">
        <v>0</v>
      </c>
      <c r="Y127" s="42" t="s">
        <v>0</v>
      </c>
      <c r="Z127" s="42" t="s">
        <v>0</v>
      </c>
      <c r="AA127" s="42" t="s">
        <v>0</v>
      </c>
      <c r="AB127" s="42" t="s">
        <v>0</v>
      </c>
      <c r="AC127" s="42" t="s">
        <v>0</v>
      </c>
      <c r="AD127" s="42" t="s">
        <v>0</v>
      </c>
      <c r="AE127" s="42" t="s">
        <v>0</v>
      </c>
      <c r="AF127" s="42" t="s">
        <v>0</v>
      </c>
      <c r="AG127" s="42" t="s">
        <v>0</v>
      </c>
      <c r="AH127" s="42" t="s">
        <v>0</v>
      </c>
      <c r="AI127" s="42" t="s">
        <v>0</v>
      </c>
      <c r="AJ127" s="42" t="s">
        <v>0</v>
      </c>
      <c r="AK127" s="42" t="s">
        <v>0</v>
      </c>
    </row>
    <row r="128" spans="1:37">
      <c r="A128" s="27"/>
      <c r="B128" s="27"/>
      <c r="C128" s="22" t="s">
        <v>63</v>
      </c>
      <c r="D128" s="22">
        <v>624.251997</v>
      </c>
      <c r="E128" s="22">
        <v>13916.71825</v>
      </c>
      <c r="F128" s="22">
        <v>0.823142</v>
      </c>
      <c r="G128" s="22">
        <v>2.275586</v>
      </c>
      <c r="H128" s="22">
        <v>10079.67822</v>
      </c>
      <c r="I128" s="22">
        <v>1.090796</v>
      </c>
      <c r="J128" s="22">
        <v>20806</v>
      </c>
      <c r="K128" s="22">
        <v>0.098768</v>
      </c>
      <c r="L128" s="42" t="s">
        <v>0</v>
      </c>
      <c r="M128" s="42" t="s">
        <v>0</v>
      </c>
      <c r="N128" s="42" t="s">
        <v>0</v>
      </c>
      <c r="O128" s="42" t="s">
        <v>0</v>
      </c>
      <c r="P128" s="42" t="s">
        <v>0</v>
      </c>
      <c r="Q128" s="42" t="s">
        <v>0</v>
      </c>
      <c r="R128" s="42" t="s">
        <v>0</v>
      </c>
      <c r="S128" s="42" t="s">
        <v>0</v>
      </c>
      <c r="T128" s="42" t="s">
        <v>0</v>
      </c>
      <c r="U128" s="42" t="s">
        <v>0</v>
      </c>
      <c r="V128" s="42" t="s">
        <v>0</v>
      </c>
      <c r="W128" s="42" t="s">
        <v>0</v>
      </c>
      <c r="X128" s="42" t="s">
        <v>0</v>
      </c>
      <c r="Y128" s="42" t="s">
        <v>0</v>
      </c>
      <c r="Z128" s="42" t="s">
        <v>0</v>
      </c>
      <c r="AA128" s="42" t="s">
        <v>0</v>
      </c>
      <c r="AB128" s="42" t="s">
        <v>0</v>
      </c>
      <c r="AC128" s="42" t="s">
        <v>0</v>
      </c>
      <c r="AD128" s="42" t="s">
        <v>0</v>
      </c>
      <c r="AE128" s="42" t="s">
        <v>0</v>
      </c>
      <c r="AF128" s="42" t="s">
        <v>0</v>
      </c>
      <c r="AG128" s="42" t="s">
        <v>0</v>
      </c>
      <c r="AH128" s="42" t="s">
        <v>0</v>
      </c>
      <c r="AI128" s="42" t="s">
        <v>0</v>
      </c>
      <c r="AJ128" s="42" t="s">
        <v>0</v>
      </c>
      <c r="AK128" s="42" t="s">
        <v>0</v>
      </c>
    </row>
    <row r="129" spans="1:37">
      <c r="A129" s="27"/>
      <c r="B129" s="28"/>
      <c r="C129" s="22" t="s">
        <v>64</v>
      </c>
      <c r="D129" s="22">
        <v>261.324578</v>
      </c>
      <c r="E129" s="22">
        <v>2674.035645</v>
      </c>
      <c r="F129" s="22">
        <v>1.447083</v>
      </c>
      <c r="G129" s="22">
        <v>5.381447</v>
      </c>
      <c r="H129" s="22">
        <v>1255.953613</v>
      </c>
      <c r="I129" s="22">
        <v>1.722702</v>
      </c>
      <c r="J129" s="22">
        <v>2368738</v>
      </c>
      <c r="K129" s="22">
        <v>16.5158</v>
      </c>
      <c r="L129" s="42" t="s">
        <v>0</v>
      </c>
      <c r="M129" s="42" t="s">
        <v>0</v>
      </c>
      <c r="N129" s="42" t="s">
        <v>0</v>
      </c>
      <c r="O129" s="42" t="s">
        <v>0</v>
      </c>
      <c r="P129" s="42" t="s">
        <v>0</v>
      </c>
      <c r="Q129" s="42" t="s">
        <v>0</v>
      </c>
      <c r="R129" s="42" t="s">
        <v>0</v>
      </c>
      <c r="S129" s="42" t="s">
        <v>0</v>
      </c>
      <c r="T129" s="42" t="s">
        <v>0</v>
      </c>
      <c r="U129" s="42" t="s">
        <v>0</v>
      </c>
      <c r="V129" s="42" t="s">
        <v>0</v>
      </c>
      <c r="W129" s="42" t="s">
        <v>0</v>
      </c>
      <c r="X129" s="42" t="s">
        <v>0</v>
      </c>
      <c r="Y129" s="42" t="s">
        <v>0</v>
      </c>
      <c r="Z129" s="42" t="s">
        <v>0</v>
      </c>
      <c r="AA129" s="42" t="s">
        <v>0</v>
      </c>
      <c r="AB129" s="42" t="s">
        <v>0</v>
      </c>
      <c r="AC129" s="42" t="s">
        <v>0</v>
      </c>
      <c r="AD129" s="42" t="s">
        <v>0</v>
      </c>
      <c r="AE129" s="42" t="s">
        <v>0</v>
      </c>
      <c r="AF129" s="42" t="s">
        <v>0</v>
      </c>
      <c r="AG129" s="42" t="s">
        <v>0</v>
      </c>
      <c r="AH129" s="42" t="s">
        <v>0</v>
      </c>
      <c r="AI129" s="42" t="s">
        <v>0</v>
      </c>
      <c r="AJ129" s="42" t="s">
        <v>0</v>
      </c>
      <c r="AK129" s="42" t="s">
        <v>0</v>
      </c>
    </row>
    <row r="130" spans="1:37">
      <c r="A130" s="27"/>
      <c r="B130" s="22" t="s">
        <v>65</v>
      </c>
      <c r="C130" s="22" t="s">
        <v>66</v>
      </c>
      <c r="D130" s="22">
        <v>118.08003</v>
      </c>
      <c r="E130" s="22">
        <v>2084.573579</v>
      </c>
      <c r="F130" s="22">
        <v>1.132734</v>
      </c>
      <c r="G130" s="22">
        <v>0.060404</v>
      </c>
      <c r="H130" s="22">
        <v>499.128696</v>
      </c>
      <c r="I130" s="22">
        <v>1.308189</v>
      </c>
      <c r="J130" s="22">
        <v>60674304</v>
      </c>
      <c r="K130" s="22">
        <v>231.467979</v>
      </c>
      <c r="L130" s="42" t="s">
        <v>0</v>
      </c>
      <c r="M130" s="42" t="s">
        <v>0</v>
      </c>
      <c r="N130" s="42" t="s">
        <v>0</v>
      </c>
      <c r="O130" s="42" t="s">
        <v>0</v>
      </c>
      <c r="P130" s="42" t="s">
        <v>0</v>
      </c>
      <c r="Q130" s="42" t="s">
        <v>0</v>
      </c>
      <c r="R130" s="42" t="s">
        <v>0</v>
      </c>
      <c r="S130" s="42" t="s">
        <v>0</v>
      </c>
      <c r="T130" s="42" t="s">
        <v>0</v>
      </c>
      <c r="U130" s="42" t="s">
        <v>0</v>
      </c>
      <c r="V130" s="42" t="s">
        <v>0</v>
      </c>
      <c r="W130" s="42" t="s">
        <v>0</v>
      </c>
      <c r="X130" s="42" t="s">
        <v>0</v>
      </c>
      <c r="Y130" s="42" t="s">
        <v>0</v>
      </c>
      <c r="Z130" s="42" t="s">
        <v>0</v>
      </c>
      <c r="AA130" s="42" t="s">
        <v>0</v>
      </c>
      <c r="AB130" s="42" t="s">
        <v>0</v>
      </c>
      <c r="AC130" s="42" t="s">
        <v>0</v>
      </c>
      <c r="AD130" s="42" t="s">
        <v>0</v>
      </c>
      <c r="AE130" s="42" t="s">
        <v>0</v>
      </c>
      <c r="AF130" s="42" t="s">
        <v>0</v>
      </c>
      <c r="AG130" s="42" t="s">
        <v>0</v>
      </c>
      <c r="AH130" s="42" t="s">
        <v>0</v>
      </c>
      <c r="AI130" s="42" t="s">
        <v>0</v>
      </c>
      <c r="AJ130" s="42" t="s">
        <v>0</v>
      </c>
      <c r="AK130" s="42" t="s">
        <v>0</v>
      </c>
    </row>
    <row r="131" spans="1:37">
      <c r="A131" s="27"/>
      <c r="B131" s="28"/>
      <c r="C131" s="22" t="s">
        <v>67</v>
      </c>
      <c r="D131" s="22">
        <v>3962.600272</v>
      </c>
      <c r="E131" s="22">
        <v>72449.46961</v>
      </c>
      <c r="F131" s="22">
        <v>0.632879</v>
      </c>
      <c r="G131" s="22">
        <v>1.904161</v>
      </c>
      <c r="H131" s="22">
        <v>10718.94723</v>
      </c>
      <c r="I131" s="22">
        <v>0.704513</v>
      </c>
      <c r="J131" s="22">
        <v>99140448</v>
      </c>
      <c r="K131" s="22">
        <v>378.231888</v>
      </c>
      <c r="L131" s="42" t="s">
        <v>0</v>
      </c>
      <c r="M131" s="42" t="s">
        <v>0</v>
      </c>
      <c r="N131" s="42" t="s">
        <v>0</v>
      </c>
      <c r="O131" s="42" t="s">
        <v>0</v>
      </c>
      <c r="P131" s="42" t="s">
        <v>0</v>
      </c>
      <c r="Q131" s="42" t="s">
        <v>0</v>
      </c>
      <c r="R131" s="42" t="s">
        <v>0</v>
      </c>
      <c r="S131" s="42" t="s">
        <v>0</v>
      </c>
      <c r="T131" s="42" t="s">
        <v>0</v>
      </c>
      <c r="U131" s="42" t="s">
        <v>0</v>
      </c>
      <c r="V131" s="42" t="s">
        <v>0</v>
      </c>
      <c r="W131" s="42" t="s">
        <v>0</v>
      </c>
      <c r="X131" s="42" t="s">
        <v>0</v>
      </c>
      <c r="Y131" s="42" t="s">
        <v>0</v>
      </c>
      <c r="Z131" s="42" t="s">
        <v>0</v>
      </c>
      <c r="AA131" s="42" t="s">
        <v>0</v>
      </c>
      <c r="AB131" s="42" t="s">
        <v>0</v>
      </c>
      <c r="AC131" s="42" t="s">
        <v>0</v>
      </c>
      <c r="AD131" s="42" t="s">
        <v>0</v>
      </c>
      <c r="AE131" s="42" t="s">
        <v>0</v>
      </c>
      <c r="AF131" s="42" t="s">
        <v>0</v>
      </c>
      <c r="AG131" s="42" t="s">
        <v>0</v>
      </c>
      <c r="AH131" s="42" t="s">
        <v>0</v>
      </c>
      <c r="AI131" s="42" t="s">
        <v>0</v>
      </c>
      <c r="AJ131" s="42" t="s">
        <v>0</v>
      </c>
      <c r="AK131" s="42" t="s">
        <v>0</v>
      </c>
    </row>
    <row r="132" spans="1:37">
      <c r="A132" s="27"/>
      <c r="B132" s="22" t="s">
        <v>68</v>
      </c>
      <c r="C132" s="22" t="s">
        <v>69</v>
      </c>
      <c r="D132" s="22">
        <v>3.134205</v>
      </c>
      <c r="E132" s="22">
        <v>416.066895</v>
      </c>
      <c r="F132" s="22">
        <v>0.700421</v>
      </c>
      <c r="G132" s="22">
        <v>98.732372</v>
      </c>
      <c r="H132" s="22">
        <v>1090.070801</v>
      </c>
      <c r="I132" s="22">
        <v>0.651831</v>
      </c>
      <c r="J132" s="22">
        <v>205292928</v>
      </c>
      <c r="K132" s="22">
        <v>391.682762</v>
      </c>
      <c r="L132" s="42" t="s">
        <v>0</v>
      </c>
      <c r="M132" s="42" t="s">
        <v>0</v>
      </c>
      <c r="N132" s="42" t="s">
        <v>0</v>
      </c>
      <c r="O132" s="42" t="s">
        <v>0</v>
      </c>
      <c r="P132" s="42" t="s">
        <v>0</v>
      </c>
      <c r="Q132" s="42" t="s">
        <v>0</v>
      </c>
      <c r="R132" s="42" t="s">
        <v>0</v>
      </c>
      <c r="S132" s="42" t="s">
        <v>0</v>
      </c>
      <c r="T132" s="42" t="s">
        <v>0</v>
      </c>
      <c r="U132" s="42" t="s">
        <v>0</v>
      </c>
      <c r="V132" s="42" t="s">
        <v>0</v>
      </c>
      <c r="W132" s="42" t="s">
        <v>0</v>
      </c>
      <c r="X132" s="42" t="s">
        <v>0</v>
      </c>
      <c r="Y132" s="42" t="s">
        <v>0</v>
      </c>
      <c r="Z132" s="42" t="s">
        <v>0</v>
      </c>
      <c r="AA132" s="42" t="s">
        <v>0</v>
      </c>
      <c r="AB132" s="42" t="s">
        <v>0</v>
      </c>
      <c r="AC132" s="42" t="s">
        <v>0</v>
      </c>
      <c r="AD132" s="42" t="s">
        <v>0</v>
      </c>
      <c r="AE132" s="42" t="s">
        <v>0</v>
      </c>
      <c r="AF132" s="42" t="s">
        <v>0</v>
      </c>
      <c r="AG132" s="42" t="s">
        <v>0</v>
      </c>
      <c r="AH132" s="42" t="s">
        <v>0</v>
      </c>
      <c r="AI132" s="42" t="s">
        <v>0</v>
      </c>
      <c r="AJ132" s="42" t="s">
        <v>0</v>
      </c>
      <c r="AK132" s="42" t="s">
        <v>0</v>
      </c>
    </row>
    <row r="133" spans="1:37">
      <c r="A133" s="27"/>
      <c r="B133" s="27"/>
      <c r="C133" s="22" t="s">
        <v>70</v>
      </c>
      <c r="D133" s="22">
        <v>0.749021</v>
      </c>
      <c r="E133" s="22">
        <v>15.171875</v>
      </c>
      <c r="F133" s="22">
        <v>0.690211</v>
      </c>
      <c r="G133" s="22">
        <v>2.546183</v>
      </c>
      <c r="H133" s="22">
        <v>38407.10792</v>
      </c>
      <c r="I133" s="22">
        <v>0.472871</v>
      </c>
      <c r="J133" s="22">
        <v>1844714</v>
      </c>
      <c r="K133" s="22">
        <v>7.076761</v>
      </c>
      <c r="L133" s="42" t="s">
        <v>0</v>
      </c>
      <c r="M133" s="42" t="s">
        <v>0</v>
      </c>
      <c r="N133" s="42" t="s">
        <v>0</v>
      </c>
      <c r="O133" s="42" t="s">
        <v>0</v>
      </c>
      <c r="P133" s="42" t="s">
        <v>0</v>
      </c>
      <c r="Q133" s="42" t="s">
        <v>0</v>
      </c>
      <c r="R133" s="42" t="s">
        <v>0</v>
      </c>
      <c r="S133" s="42" t="s">
        <v>0</v>
      </c>
      <c r="T133" s="42" t="s">
        <v>0</v>
      </c>
      <c r="U133" s="42" t="s">
        <v>0</v>
      </c>
      <c r="V133" s="42" t="s">
        <v>0</v>
      </c>
      <c r="W133" s="42" t="s">
        <v>0</v>
      </c>
      <c r="X133" s="42" t="s">
        <v>0</v>
      </c>
      <c r="Y133" s="42" t="s">
        <v>0</v>
      </c>
      <c r="Z133" s="42" t="s">
        <v>0</v>
      </c>
      <c r="AA133" s="42" t="s">
        <v>0</v>
      </c>
      <c r="AB133" s="42" t="s">
        <v>0</v>
      </c>
      <c r="AC133" s="42" t="s">
        <v>0</v>
      </c>
      <c r="AD133" s="42" t="s">
        <v>0</v>
      </c>
      <c r="AE133" s="42" t="s">
        <v>0</v>
      </c>
      <c r="AF133" s="42" t="s">
        <v>0</v>
      </c>
      <c r="AG133" s="42" t="s">
        <v>0</v>
      </c>
      <c r="AH133" s="42" t="s">
        <v>0</v>
      </c>
      <c r="AI133" s="42" t="s">
        <v>0</v>
      </c>
      <c r="AJ133" s="42" t="s">
        <v>0</v>
      </c>
      <c r="AK133" s="42" t="s">
        <v>0</v>
      </c>
    </row>
    <row r="134" spans="1:37">
      <c r="A134" s="27"/>
      <c r="B134" s="27"/>
      <c r="C134" s="22" t="s">
        <v>71</v>
      </c>
      <c r="D134" s="22">
        <v>5407.517517</v>
      </c>
      <c r="E134" s="22">
        <v>7291.009185</v>
      </c>
      <c r="F134" s="22">
        <v>0.611391</v>
      </c>
      <c r="G134" s="22">
        <v>16.841473</v>
      </c>
      <c r="H134" s="22">
        <v>6976.738433</v>
      </c>
      <c r="I134" s="22">
        <v>0.611616</v>
      </c>
      <c r="J134" s="22">
        <v>341248520</v>
      </c>
      <c r="K134" s="22">
        <v>1321.389574</v>
      </c>
      <c r="L134" s="42" t="s">
        <v>0</v>
      </c>
      <c r="M134" s="42" t="s">
        <v>0</v>
      </c>
      <c r="N134" s="42" t="s">
        <v>0</v>
      </c>
      <c r="O134" s="42" t="s">
        <v>0</v>
      </c>
      <c r="P134" s="42" t="s">
        <v>0</v>
      </c>
      <c r="Q134" s="42" t="s">
        <v>0</v>
      </c>
      <c r="R134" s="42" t="s">
        <v>0</v>
      </c>
      <c r="S134" s="42" t="s">
        <v>0</v>
      </c>
      <c r="T134" s="42" t="s">
        <v>0</v>
      </c>
      <c r="U134" s="42" t="s">
        <v>0</v>
      </c>
      <c r="V134" s="42" t="s">
        <v>0</v>
      </c>
      <c r="W134" s="42" t="s">
        <v>0</v>
      </c>
      <c r="X134" s="42" t="s">
        <v>0</v>
      </c>
      <c r="Y134" s="42" t="s">
        <v>0</v>
      </c>
      <c r="Z134" s="42" t="s">
        <v>0</v>
      </c>
      <c r="AA134" s="42" t="s">
        <v>0</v>
      </c>
      <c r="AB134" s="42" t="s">
        <v>0</v>
      </c>
      <c r="AC134" s="42" t="s">
        <v>0</v>
      </c>
      <c r="AD134" s="42" t="s">
        <v>0</v>
      </c>
      <c r="AE134" s="42" t="s">
        <v>0</v>
      </c>
      <c r="AF134" s="42" t="s">
        <v>0</v>
      </c>
      <c r="AG134" s="42" t="s">
        <v>0</v>
      </c>
      <c r="AH134" s="42" t="s">
        <v>0</v>
      </c>
      <c r="AI134" s="42" t="s">
        <v>0</v>
      </c>
      <c r="AJ134" s="42" t="s">
        <v>0</v>
      </c>
      <c r="AK134" s="42" t="s">
        <v>0</v>
      </c>
    </row>
    <row r="135" spans="1:37">
      <c r="A135" s="27"/>
      <c r="B135" s="28"/>
      <c r="C135" s="22" t="s">
        <v>72</v>
      </c>
      <c r="D135" s="22">
        <v>224.709687</v>
      </c>
      <c r="E135" s="22">
        <v>1517.801758</v>
      </c>
      <c r="F135" s="22">
        <v>0.84211</v>
      </c>
      <c r="G135" s="22">
        <v>0.12761</v>
      </c>
      <c r="H135" s="22">
        <v>1151.692198</v>
      </c>
      <c r="I135" s="22">
        <v>1.066153</v>
      </c>
      <c r="J135" s="22">
        <v>718776</v>
      </c>
      <c r="K135" s="22">
        <v>2.786379</v>
      </c>
      <c r="L135" s="42" t="s">
        <v>0</v>
      </c>
      <c r="M135" s="42" t="s">
        <v>0</v>
      </c>
      <c r="N135" s="42" t="s">
        <v>0</v>
      </c>
      <c r="O135" s="42" t="s">
        <v>0</v>
      </c>
      <c r="P135" s="42" t="s">
        <v>0</v>
      </c>
      <c r="Q135" s="42" t="s">
        <v>0</v>
      </c>
      <c r="R135" s="42" t="s">
        <v>0</v>
      </c>
      <c r="S135" s="42" t="s">
        <v>0</v>
      </c>
      <c r="T135" s="42" t="s">
        <v>0</v>
      </c>
      <c r="U135" s="42" t="s">
        <v>0</v>
      </c>
      <c r="V135" s="42" t="s">
        <v>0</v>
      </c>
      <c r="W135" s="42" t="s">
        <v>0</v>
      </c>
      <c r="X135" s="42" t="s">
        <v>0</v>
      </c>
      <c r="Y135" s="42" t="s">
        <v>0</v>
      </c>
      <c r="Z135" s="42" t="s">
        <v>0</v>
      </c>
      <c r="AA135" s="42" t="s">
        <v>0</v>
      </c>
      <c r="AB135" s="42" t="s">
        <v>0</v>
      </c>
      <c r="AC135" s="42" t="s">
        <v>0</v>
      </c>
      <c r="AD135" s="42" t="s">
        <v>0</v>
      </c>
      <c r="AE135" s="42" t="s">
        <v>0</v>
      </c>
      <c r="AF135" s="42" t="s">
        <v>0</v>
      </c>
      <c r="AG135" s="42" t="s">
        <v>0</v>
      </c>
      <c r="AH135" s="42" t="s">
        <v>0</v>
      </c>
      <c r="AI135" s="42" t="s">
        <v>0</v>
      </c>
      <c r="AJ135" s="42" t="s">
        <v>0</v>
      </c>
      <c r="AK135" s="42" t="s">
        <v>0</v>
      </c>
    </row>
    <row r="136" spans="1:37">
      <c r="A136" s="28"/>
      <c r="B136" s="22" t="s">
        <v>73</v>
      </c>
      <c r="C136" s="22" t="s">
        <v>74</v>
      </c>
      <c r="D136" s="22">
        <v>1211.497367</v>
      </c>
      <c r="E136" s="22">
        <v>10731.729888</v>
      </c>
      <c r="F136" s="22">
        <v>0.661772</v>
      </c>
      <c r="G136" s="22">
        <v>39.577893</v>
      </c>
      <c r="H136" s="22">
        <v>2608.0831</v>
      </c>
      <c r="I136" s="22">
        <v>0.643253</v>
      </c>
      <c r="J136" s="22">
        <v>124909406</v>
      </c>
      <c r="K136" s="22">
        <v>476.581274</v>
      </c>
      <c r="L136" s="42" t="s">
        <v>0</v>
      </c>
      <c r="M136" s="42" t="s">
        <v>0</v>
      </c>
      <c r="N136" s="42" t="s">
        <v>0</v>
      </c>
      <c r="O136" s="42" t="s">
        <v>0</v>
      </c>
      <c r="P136" s="42" t="s">
        <v>0</v>
      </c>
      <c r="Q136" s="42" t="s">
        <v>0</v>
      </c>
      <c r="R136" s="42" t="s">
        <v>0</v>
      </c>
      <c r="S136" s="42" t="s">
        <v>0</v>
      </c>
      <c r="T136" s="42" t="s">
        <v>0</v>
      </c>
      <c r="U136" s="42" t="s">
        <v>0</v>
      </c>
      <c r="V136" s="42" t="s">
        <v>0</v>
      </c>
      <c r="W136" s="42" t="s">
        <v>0</v>
      </c>
      <c r="X136" s="42" t="s">
        <v>0</v>
      </c>
      <c r="Y136" s="42" t="s">
        <v>0</v>
      </c>
      <c r="Z136" s="42" t="s">
        <v>0</v>
      </c>
      <c r="AA136" s="42" t="s">
        <v>0</v>
      </c>
      <c r="AB136" s="42" t="s">
        <v>0</v>
      </c>
      <c r="AC136" s="42" t="s">
        <v>0</v>
      </c>
      <c r="AD136" s="42" t="s">
        <v>0</v>
      </c>
      <c r="AE136" s="42" t="s">
        <v>0</v>
      </c>
      <c r="AF136" s="42" t="s">
        <v>0</v>
      </c>
      <c r="AG136" s="42" t="s">
        <v>0</v>
      </c>
      <c r="AH136" s="42" t="s">
        <v>0</v>
      </c>
      <c r="AI136" s="42" t="s">
        <v>0</v>
      </c>
      <c r="AJ136" s="42" t="s">
        <v>0</v>
      </c>
      <c r="AK136" s="42" t="s">
        <v>0</v>
      </c>
    </row>
    <row r="137" spans="1:37">
      <c r="A137" s="42" t="s">
        <v>0</v>
      </c>
      <c r="B137" s="42" t="s">
        <v>0</v>
      </c>
      <c r="C137" s="42" t="s">
        <v>0</v>
      </c>
      <c r="D137" s="42" t="s">
        <v>0</v>
      </c>
      <c r="E137" s="42" t="s">
        <v>0</v>
      </c>
      <c r="F137" s="42" t="s">
        <v>0</v>
      </c>
      <c r="G137" s="42" t="s">
        <v>0</v>
      </c>
      <c r="H137" s="42" t="s">
        <v>0</v>
      </c>
      <c r="I137" s="42" t="s">
        <v>0</v>
      </c>
      <c r="J137" s="42" t="s">
        <v>0</v>
      </c>
      <c r="K137" s="42" t="s">
        <v>0</v>
      </c>
      <c r="L137" s="42" t="s">
        <v>0</v>
      </c>
      <c r="M137" s="42" t="s">
        <v>0</v>
      </c>
      <c r="N137" s="42" t="s">
        <v>0</v>
      </c>
      <c r="O137" s="42" t="s">
        <v>0</v>
      </c>
      <c r="P137" s="42" t="s">
        <v>0</v>
      </c>
      <c r="Q137" s="42" t="s">
        <v>0</v>
      </c>
      <c r="R137" s="42" t="s">
        <v>0</v>
      </c>
      <c r="S137" s="42" t="s">
        <v>0</v>
      </c>
      <c r="T137" s="42" t="s">
        <v>0</v>
      </c>
      <c r="U137" s="42" t="s">
        <v>0</v>
      </c>
      <c r="V137" s="42" t="s">
        <v>0</v>
      </c>
      <c r="W137" s="42" t="s">
        <v>0</v>
      </c>
      <c r="X137" s="42" t="s">
        <v>0</v>
      </c>
      <c r="Y137" s="42" t="s">
        <v>0</v>
      </c>
      <c r="Z137" s="42" t="s">
        <v>0</v>
      </c>
      <c r="AA137" s="42" t="s">
        <v>0</v>
      </c>
      <c r="AB137" s="42" t="s">
        <v>0</v>
      </c>
      <c r="AC137" s="42" t="s">
        <v>0</v>
      </c>
      <c r="AD137" s="42" t="s">
        <v>0</v>
      </c>
      <c r="AE137" s="42" t="s">
        <v>0</v>
      </c>
      <c r="AF137" s="42" t="s">
        <v>0</v>
      </c>
      <c r="AG137" s="42" t="s">
        <v>0</v>
      </c>
      <c r="AH137" s="42" t="s">
        <v>0</v>
      </c>
      <c r="AI137" s="42" t="s">
        <v>0</v>
      </c>
      <c r="AJ137" s="42" t="s">
        <v>0</v>
      </c>
      <c r="AK137" s="42" t="s">
        <v>0</v>
      </c>
    </row>
    <row r="138" spans="1:37">
      <c r="A138" s="42" t="s">
        <v>0</v>
      </c>
      <c r="B138" s="42" t="s">
        <v>0</v>
      </c>
      <c r="C138" s="42" t="s">
        <v>0</v>
      </c>
      <c r="D138" s="42" t="s">
        <v>0</v>
      </c>
      <c r="E138" s="42" t="s">
        <v>0</v>
      </c>
      <c r="F138" s="42" t="s">
        <v>0</v>
      </c>
      <c r="G138" s="42" t="s">
        <v>0</v>
      </c>
      <c r="H138" s="42" t="s">
        <v>0</v>
      </c>
      <c r="I138" s="42" t="s">
        <v>0</v>
      </c>
      <c r="J138" s="42" t="s">
        <v>0</v>
      </c>
      <c r="K138" s="42" t="s">
        <v>0</v>
      </c>
      <c r="L138" s="42" t="s">
        <v>0</v>
      </c>
      <c r="M138" s="42" t="s">
        <v>0</v>
      </c>
      <c r="N138" s="42" t="s">
        <v>0</v>
      </c>
      <c r="O138" s="42" t="s">
        <v>0</v>
      </c>
      <c r="P138" s="42" t="s">
        <v>0</v>
      </c>
      <c r="Q138" s="42" t="s">
        <v>0</v>
      </c>
      <c r="R138" s="42" t="s">
        <v>0</v>
      </c>
      <c r="S138" s="42" t="s">
        <v>0</v>
      </c>
      <c r="T138" s="42" t="s">
        <v>0</v>
      </c>
      <c r="U138" s="42" t="s">
        <v>0</v>
      </c>
      <c r="V138" s="42" t="s">
        <v>0</v>
      </c>
      <c r="W138" s="42" t="s">
        <v>0</v>
      </c>
      <c r="X138" s="42" t="s">
        <v>0</v>
      </c>
      <c r="Y138" s="42" t="s">
        <v>0</v>
      </c>
      <c r="Z138" s="42" t="s">
        <v>0</v>
      </c>
      <c r="AA138" s="42" t="s">
        <v>0</v>
      </c>
      <c r="AB138" s="42" t="s">
        <v>0</v>
      </c>
      <c r="AC138" s="42" t="s">
        <v>0</v>
      </c>
      <c r="AD138" s="42" t="s">
        <v>0</v>
      </c>
      <c r="AE138" s="42" t="s">
        <v>0</v>
      </c>
      <c r="AF138" s="42" t="s">
        <v>0</v>
      </c>
      <c r="AG138" s="42" t="s">
        <v>0</v>
      </c>
      <c r="AH138" s="42" t="s">
        <v>0</v>
      </c>
      <c r="AI138" s="42" t="s">
        <v>0</v>
      </c>
      <c r="AJ138" s="42" t="s">
        <v>0</v>
      </c>
      <c r="AK138" s="42" t="s">
        <v>0</v>
      </c>
    </row>
    <row r="139" spans="1:37">
      <c r="A139" s="42" t="s">
        <v>0</v>
      </c>
      <c r="B139" s="42" t="s">
        <v>0</v>
      </c>
      <c r="C139" s="42" t="s">
        <v>0</v>
      </c>
      <c r="D139" s="42" t="s">
        <v>0</v>
      </c>
      <c r="E139" s="42" t="s">
        <v>0</v>
      </c>
      <c r="F139" s="42" t="s">
        <v>0</v>
      </c>
      <c r="G139" s="42" t="s">
        <v>0</v>
      </c>
      <c r="H139" s="42" t="s">
        <v>0</v>
      </c>
      <c r="I139" s="42" t="s">
        <v>0</v>
      </c>
      <c r="J139" s="42" t="s">
        <v>0</v>
      </c>
      <c r="K139" s="42" t="s">
        <v>0</v>
      </c>
      <c r="L139" s="42" t="s">
        <v>0</v>
      </c>
      <c r="M139" s="42" t="s">
        <v>0</v>
      </c>
      <c r="N139" s="42" t="s">
        <v>0</v>
      </c>
      <c r="O139" s="42" t="s">
        <v>0</v>
      </c>
      <c r="P139" s="42" t="s">
        <v>0</v>
      </c>
      <c r="Q139" s="42" t="s">
        <v>0</v>
      </c>
      <c r="R139" s="42" t="s">
        <v>0</v>
      </c>
      <c r="S139" s="42" t="s">
        <v>0</v>
      </c>
      <c r="T139" s="42" t="s">
        <v>0</v>
      </c>
      <c r="U139" s="42" t="s">
        <v>0</v>
      </c>
      <c r="V139" s="42" t="s">
        <v>0</v>
      </c>
      <c r="W139" s="42" t="s">
        <v>0</v>
      </c>
      <c r="X139" s="42" t="s">
        <v>0</v>
      </c>
      <c r="Y139" s="42" t="s">
        <v>0</v>
      </c>
      <c r="Z139" s="42" t="s">
        <v>0</v>
      </c>
      <c r="AA139" s="42" t="s">
        <v>0</v>
      </c>
      <c r="AB139" s="42" t="s">
        <v>0</v>
      </c>
      <c r="AC139" s="42" t="s">
        <v>0</v>
      </c>
      <c r="AD139" s="42" t="s">
        <v>0</v>
      </c>
      <c r="AE139" s="42" t="s">
        <v>0</v>
      </c>
      <c r="AF139" s="42" t="s">
        <v>0</v>
      </c>
      <c r="AG139" s="42" t="s">
        <v>0</v>
      </c>
      <c r="AH139" s="42" t="s">
        <v>0</v>
      </c>
      <c r="AI139" s="42" t="s">
        <v>0</v>
      </c>
      <c r="AJ139" s="42" t="s">
        <v>0</v>
      </c>
      <c r="AK139" s="42" t="s">
        <v>0</v>
      </c>
    </row>
  </sheetData>
  <mergeCells count="23">
    <mergeCell ref="X3:AB3"/>
    <mergeCell ref="AC3:AK3"/>
    <mergeCell ref="D22:K22"/>
    <mergeCell ref="A61:AK61"/>
    <mergeCell ref="A99:AK99"/>
    <mergeCell ref="A23:A60"/>
    <mergeCell ref="A62:A98"/>
    <mergeCell ref="A100:A136"/>
    <mergeCell ref="B25:B27"/>
    <mergeCell ref="B28:B35"/>
    <mergeCell ref="B36:B53"/>
    <mergeCell ref="B54:B55"/>
    <mergeCell ref="B56:B59"/>
    <mergeCell ref="B63:B65"/>
    <mergeCell ref="B66:B73"/>
    <mergeCell ref="B74:B91"/>
    <mergeCell ref="B92:B93"/>
    <mergeCell ref="B94:B97"/>
    <mergeCell ref="B101:B103"/>
    <mergeCell ref="B104:B111"/>
    <mergeCell ref="B112:B129"/>
    <mergeCell ref="B130:B131"/>
    <mergeCell ref="B132:B135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K122"/>
  <sheetViews>
    <sheetView workbookViewId="0">
      <selection activeCell="A1" sqref="A1"/>
    </sheetView>
  </sheetViews>
  <sheetFormatPr defaultColWidth="14" defaultRowHeight="16.5"/>
  <cols>
    <col min="1" max="3" width="22.7083333333333" style="1" customWidth="1"/>
    <col min="4" max="23" width="16.7083333333333" style="1" customWidth="1"/>
    <col min="24" max="25" width="22.7083333333333" style="1" customWidth="1"/>
    <col min="26" max="26" width="19.7083333333333" style="1" customWidth="1"/>
    <col min="27" max="27" width="30.7083333333333" style="1" customWidth="1"/>
    <col min="28" max="28" width="17.7083333333333" style="1" customWidth="1"/>
  </cols>
  <sheetData>
    <row r="2" spans="1:37">
      <c r="B2" t="s">
        <v>96</v>
      </c>
    </row>
    <row r="3" spans="1:37">
      <c r="A3" s="22" t="s">
        <v>0</v>
      </c>
      <c r="B3" s="22" t="s">
        <v>0</v>
      </c>
      <c r="C3" s="23" t="s">
        <v>0</v>
      </c>
      <c r="D3" s="24" t="s">
        <v>7</v>
      </c>
      <c r="E3" s="22" t="s">
        <v>8</v>
      </c>
      <c r="F3" s="22" t="s">
        <v>9</v>
      </c>
      <c r="G3" s="22" t="s">
        <v>10</v>
      </c>
      <c r="H3" s="22" t="s">
        <v>11</v>
      </c>
      <c r="I3" s="22" t="s">
        <v>12</v>
      </c>
      <c r="J3" s="22" t="s">
        <v>13</v>
      </c>
      <c r="K3" s="22" t="s">
        <v>14</v>
      </c>
      <c r="L3" s="22" t="s">
        <v>15</v>
      </c>
      <c r="M3" s="22" t="s">
        <v>16</v>
      </c>
      <c r="N3" s="22" t="s">
        <v>17</v>
      </c>
      <c r="O3" s="22" t="s">
        <v>18</v>
      </c>
      <c r="P3" s="22" t="s">
        <v>19</v>
      </c>
      <c r="Q3" s="22" t="s">
        <v>20</v>
      </c>
      <c r="R3" s="22" t="s">
        <v>21</v>
      </c>
      <c r="S3" s="22" t="s">
        <v>22</v>
      </c>
      <c r="T3" s="22" t="s">
        <v>23</v>
      </c>
      <c r="U3" s="22" t="s">
        <v>24</v>
      </c>
      <c r="V3" s="22" t="s">
        <v>25</v>
      </c>
      <c r="W3" s="25" t="s">
        <v>26</v>
      </c>
      <c r="X3" s="22" t="s">
        <v>27</v>
      </c>
      <c r="Y3" s="22" t="s">
        <v>28</v>
      </c>
      <c r="Z3" s="22" t="s">
        <v>29</v>
      </c>
      <c r="AA3" s="24" t="s">
        <v>30</v>
      </c>
      <c r="AB3" s="24" t="s">
        <v>31</v>
      </c>
      <c r="AC3" s="34" t="s">
        <v>0</v>
      </c>
      <c r="AD3" s="34" t="s">
        <v>0</v>
      </c>
      <c r="AE3" s="34" t="s">
        <v>0</v>
      </c>
      <c r="AF3" s="34" t="s">
        <v>0</v>
      </c>
      <c r="AG3" s="34" t="s">
        <v>0</v>
      </c>
      <c r="AH3" s="34" t="s">
        <v>0</v>
      </c>
      <c r="AI3" s="34" t="s">
        <v>0</v>
      </c>
      <c r="AJ3" s="34" t="s">
        <v>0</v>
      </c>
      <c r="AK3" s="34" t="s">
        <v>0</v>
      </c>
    </row>
    <row r="4" spans="1:37">
      <c r="A4" s="22" t="s">
        <v>97</v>
      </c>
      <c r="B4" s="22" t="s">
        <v>33</v>
      </c>
      <c r="C4" s="26" t="s">
        <v>34</v>
      </c>
      <c r="D4" s="22">
        <v>0.997657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  <c r="K4" s="22">
        <v>0</v>
      </c>
      <c r="L4" s="22">
        <v>0</v>
      </c>
      <c r="M4" s="22">
        <v>0</v>
      </c>
      <c r="N4" s="22">
        <v>0</v>
      </c>
      <c r="O4" s="22">
        <v>0.243077</v>
      </c>
      <c r="P4" s="22">
        <v>0.269051</v>
      </c>
      <c r="Q4" s="22">
        <v>0.255405</v>
      </c>
      <c r="R4" s="22">
        <v>0.68025</v>
      </c>
      <c r="S4" s="22">
        <v>0.5179</v>
      </c>
      <c r="T4" s="22">
        <v>0.953748</v>
      </c>
      <c r="U4" s="22">
        <v>0.926108</v>
      </c>
      <c r="V4" s="22">
        <v>0.915022</v>
      </c>
      <c r="W4" s="25">
        <v>0.875348</v>
      </c>
      <c r="X4" s="22" t="s">
        <v>0</v>
      </c>
      <c r="Y4" s="22" t="s">
        <v>0</v>
      </c>
      <c r="Z4" s="22">
        <v>0</v>
      </c>
      <c r="AA4" s="22">
        <v>0.096386</v>
      </c>
      <c r="AB4" s="22">
        <v>3.666667</v>
      </c>
      <c r="AC4" s="34" t="s">
        <v>0</v>
      </c>
      <c r="AD4" s="34" t="s">
        <v>0</v>
      </c>
      <c r="AE4" s="34" t="s">
        <v>0</v>
      </c>
      <c r="AF4" s="34" t="s">
        <v>0</v>
      </c>
      <c r="AG4" s="34" t="s">
        <v>0</v>
      </c>
      <c r="AH4" s="34" t="s">
        <v>0</v>
      </c>
      <c r="AI4" s="34" t="s">
        <v>0</v>
      </c>
      <c r="AJ4" s="34" t="s">
        <v>0</v>
      </c>
      <c r="AK4" s="34" t="s">
        <v>0</v>
      </c>
    </row>
    <row r="5" spans="1:37">
      <c r="A5" s="27"/>
      <c r="B5" s="27"/>
      <c r="C5" s="26" t="s">
        <v>35</v>
      </c>
      <c r="D5" s="22">
        <v>0.998829</v>
      </c>
      <c r="E5" s="22">
        <v>0</v>
      </c>
      <c r="F5" s="22">
        <v>0</v>
      </c>
      <c r="G5" s="22">
        <v>0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2">
        <v>0</v>
      </c>
      <c r="N5" s="22">
        <v>0</v>
      </c>
      <c r="O5" s="22">
        <v>0.17883</v>
      </c>
      <c r="P5" s="22">
        <v>0.222273</v>
      </c>
      <c r="Q5" s="22">
        <v>0.198199</v>
      </c>
      <c r="R5" s="22">
        <v>0.722574</v>
      </c>
      <c r="S5" s="22">
        <v>0.504863</v>
      </c>
      <c r="T5" s="22">
        <v>0.970782</v>
      </c>
      <c r="U5" s="22">
        <v>0.94439</v>
      </c>
      <c r="V5" s="22">
        <v>0.924877</v>
      </c>
      <c r="W5" s="25">
        <v>0.877763</v>
      </c>
      <c r="X5" s="22" t="s">
        <v>0</v>
      </c>
      <c r="Y5" s="22" t="s">
        <v>0</v>
      </c>
      <c r="Z5" s="22">
        <v>0</v>
      </c>
      <c r="AA5" s="22">
        <v>0.168675</v>
      </c>
      <c r="AB5" s="22">
        <v>154</v>
      </c>
      <c r="AC5" s="34" t="s">
        <v>0</v>
      </c>
      <c r="AD5" s="34" t="s">
        <v>0</v>
      </c>
      <c r="AE5" s="34" t="s">
        <v>0</v>
      </c>
      <c r="AF5" s="34" t="s">
        <v>0</v>
      </c>
      <c r="AG5" s="34" t="s">
        <v>0</v>
      </c>
      <c r="AH5" s="34" t="s">
        <v>0</v>
      </c>
      <c r="AI5" s="34" t="s">
        <v>0</v>
      </c>
      <c r="AJ5" s="34" t="s">
        <v>0</v>
      </c>
      <c r="AK5" s="34" t="s">
        <v>0</v>
      </c>
    </row>
    <row r="6" spans="1:37">
      <c r="A6" s="27"/>
      <c r="B6" s="28"/>
      <c r="C6" s="26" t="s">
        <v>36</v>
      </c>
      <c r="D6" s="22">
        <v>0.983936</v>
      </c>
      <c r="E6" s="22">
        <v>0.659091</v>
      </c>
      <c r="F6" s="22">
        <v>0.014912</v>
      </c>
      <c r="G6" s="22">
        <v>0.029163</v>
      </c>
      <c r="H6" s="22">
        <v>0.666667</v>
      </c>
      <c r="I6" s="22">
        <v>1</v>
      </c>
      <c r="J6" s="22">
        <v>0.75</v>
      </c>
      <c r="K6" s="22">
        <v>0.001982</v>
      </c>
      <c r="L6" s="22">
        <v>0.666667</v>
      </c>
      <c r="M6" s="22">
        <v>0.200794</v>
      </c>
      <c r="N6" s="22">
        <v>0.292528</v>
      </c>
      <c r="O6" s="22">
        <v>0.767798</v>
      </c>
      <c r="P6" s="22">
        <v>0.93711</v>
      </c>
      <c r="Q6" s="22">
        <v>0.82512</v>
      </c>
      <c r="R6" s="22">
        <v>0.693949</v>
      </c>
      <c r="S6" s="22">
        <v>0.482348</v>
      </c>
      <c r="T6" s="22">
        <v>0.960625</v>
      </c>
      <c r="U6" s="22">
        <v>0.932074</v>
      </c>
      <c r="V6" s="22">
        <v>0.915829</v>
      </c>
      <c r="W6" s="25">
        <v>0.867768</v>
      </c>
      <c r="X6" s="22">
        <v>191</v>
      </c>
      <c r="Y6" s="22">
        <v>163.5</v>
      </c>
      <c r="Z6" s="22">
        <v>0</v>
      </c>
      <c r="AA6" s="22">
        <v>2.26506</v>
      </c>
      <c r="AB6" s="22">
        <v>65.46828</v>
      </c>
      <c r="AC6" s="34" t="s">
        <v>0</v>
      </c>
      <c r="AD6" s="34" t="s">
        <v>0</v>
      </c>
      <c r="AE6" s="34" t="s">
        <v>0</v>
      </c>
      <c r="AF6" s="34" t="s">
        <v>0</v>
      </c>
      <c r="AG6" s="34" t="s">
        <v>0</v>
      </c>
      <c r="AH6" s="34" t="s">
        <v>0</v>
      </c>
      <c r="AI6" s="34" t="s">
        <v>0</v>
      </c>
      <c r="AJ6" s="34" t="s">
        <v>0</v>
      </c>
      <c r="AK6" s="34" t="s">
        <v>0</v>
      </c>
    </row>
    <row r="7" spans="1:37">
      <c r="A7" s="27"/>
      <c r="B7" s="22" t="s">
        <v>37</v>
      </c>
      <c r="C7" s="26" t="s">
        <v>38</v>
      </c>
      <c r="D7" s="22">
        <v>0.991466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0.693108</v>
      </c>
      <c r="S7" s="22">
        <v>0.497041</v>
      </c>
      <c r="T7" s="22">
        <v>0.948226</v>
      </c>
      <c r="U7" s="22">
        <v>0.911532</v>
      </c>
      <c r="V7" s="22">
        <v>0.914248</v>
      </c>
      <c r="W7" s="25">
        <v>0.861785</v>
      </c>
      <c r="X7" s="22" t="s">
        <v>0</v>
      </c>
      <c r="Y7" s="22" t="s">
        <v>0</v>
      </c>
      <c r="Z7" s="22">
        <v>0</v>
      </c>
      <c r="AA7" s="22">
        <v>0.192771</v>
      </c>
      <c r="AB7" s="22">
        <v>64.714286</v>
      </c>
      <c r="AC7" s="34" t="s">
        <v>0</v>
      </c>
      <c r="AD7" s="34" t="s">
        <v>0</v>
      </c>
      <c r="AE7" s="34" t="s">
        <v>0</v>
      </c>
      <c r="AF7" s="34" t="s">
        <v>0</v>
      </c>
      <c r="AG7" s="34" t="s">
        <v>0</v>
      </c>
      <c r="AH7" s="34" t="s">
        <v>0</v>
      </c>
      <c r="AI7" s="34" t="s">
        <v>0</v>
      </c>
      <c r="AJ7" s="34" t="s">
        <v>0</v>
      </c>
      <c r="AK7" s="34" t="s">
        <v>0</v>
      </c>
    </row>
    <row r="8" spans="1:37">
      <c r="A8" s="27"/>
      <c r="B8" s="27"/>
      <c r="C8" s="26" t="s">
        <v>39</v>
      </c>
      <c r="D8" s="22">
        <v>0.996319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0.719379</v>
      </c>
      <c r="S8" s="22">
        <v>0.505406</v>
      </c>
      <c r="T8" s="22">
        <v>0.970103</v>
      </c>
      <c r="U8" s="22">
        <v>0.936421</v>
      </c>
      <c r="V8" s="22">
        <v>0.930811</v>
      </c>
      <c r="W8" s="25">
        <v>0.873791</v>
      </c>
      <c r="X8" s="22" t="s">
        <v>0</v>
      </c>
      <c r="Y8" s="22" t="s">
        <v>0</v>
      </c>
      <c r="Z8" s="22">
        <v>0</v>
      </c>
      <c r="AA8" s="22">
        <v>0.240964</v>
      </c>
      <c r="AB8" s="22">
        <v>49.555556</v>
      </c>
      <c r="AC8" s="34" t="s">
        <v>0</v>
      </c>
      <c r="AD8" s="34" t="s">
        <v>0</v>
      </c>
      <c r="AE8" s="34" t="s">
        <v>0</v>
      </c>
      <c r="AF8" s="34" t="s">
        <v>0</v>
      </c>
      <c r="AG8" s="34" t="s">
        <v>0</v>
      </c>
      <c r="AH8" s="34" t="s">
        <v>0</v>
      </c>
      <c r="AI8" s="34" t="s">
        <v>0</v>
      </c>
      <c r="AJ8" s="34" t="s">
        <v>0</v>
      </c>
      <c r="AK8" s="34" t="s">
        <v>0</v>
      </c>
    </row>
    <row r="9" spans="1:37">
      <c r="A9" s="27"/>
      <c r="B9" s="27"/>
      <c r="C9" s="26" t="s">
        <v>40</v>
      </c>
      <c r="D9" s="22">
        <v>0.997992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0.244422</v>
      </c>
      <c r="P9" s="22">
        <v>0.268202</v>
      </c>
      <c r="Q9" s="22">
        <v>0.255761</v>
      </c>
      <c r="R9" s="22">
        <v>0.604089</v>
      </c>
      <c r="S9" s="22">
        <v>0.292229</v>
      </c>
      <c r="T9" s="22">
        <v>0.967149</v>
      </c>
      <c r="U9" s="22">
        <v>0.931523</v>
      </c>
      <c r="V9" s="22">
        <v>0.917743</v>
      </c>
      <c r="W9" s="25">
        <v>0.853299</v>
      </c>
      <c r="X9" s="22" t="s">
        <v>0</v>
      </c>
      <c r="Y9" s="22" t="s">
        <v>0</v>
      </c>
      <c r="Z9" s="22">
        <v>0</v>
      </c>
      <c r="AA9" s="22">
        <v>0.024096</v>
      </c>
      <c r="AB9" s="22" t="s">
        <v>0</v>
      </c>
      <c r="AC9" s="34" t="s">
        <v>0</v>
      </c>
      <c r="AD9" s="34" t="s">
        <v>0</v>
      </c>
      <c r="AE9" s="34" t="s">
        <v>0</v>
      </c>
      <c r="AF9" s="34" t="s">
        <v>0</v>
      </c>
      <c r="AG9" s="34" t="s">
        <v>0</v>
      </c>
      <c r="AH9" s="34" t="s">
        <v>0</v>
      </c>
      <c r="AI9" s="34" t="s">
        <v>0</v>
      </c>
      <c r="AJ9" s="34" t="s">
        <v>0</v>
      </c>
      <c r="AK9" s="34" t="s">
        <v>0</v>
      </c>
    </row>
    <row r="10" spans="1:37">
      <c r="A10" s="27"/>
      <c r="B10" s="27"/>
      <c r="C10" s="26" t="s">
        <v>41</v>
      </c>
      <c r="D10" s="22">
        <v>0.97239</v>
      </c>
      <c r="E10" s="22">
        <v>0.683772</v>
      </c>
      <c r="F10" s="22">
        <v>0.047102</v>
      </c>
      <c r="G10" s="22">
        <v>0.085326</v>
      </c>
      <c r="H10" s="22">
        <v>0.683333</v>
      </c>
      <c r="I10" s="22">
        <v>1</v>
      </c>
      <c r="J10" s="22">
        <v>0.811765</v>
      </c>
      <c r="K10" s="22">
        <v>0.005926</v>
      </c>
      <c r="L10" s="22">
        <v>0.683333</v>
      </c>
      <c r="M10" s="22">
        <v>0.200947</v>
      </c>
      <c r="N10" s="22">
        <v>0.310535</v>
      </c>
      <c r="O10" s="22">
        <v>0.742071</v>
      </c>
      <c r="P10" s="22">
        <v>0.908943</v>
      </c>
      <c r="Q10" s="22">
        <v>0.816849</v>
      </c>
      <c r="R10" s="22">
        <v>0.701016</v>
      </c>
      <c r="S10" s="22">
        <v>0.461493</v>
      </c>
      <c r="T10" s="22">
        <v>0.969313</v>
      </c>
      <c r="U10" s="22">
        <v>0.936948</v>
      </c>
      <c r="V10" s="22">
        <v>0.925839</v>
      </c>
      <c r="W10" s="25">
        <v>0.868982</v>
      </c>
      <c r="X10" s="22">
        <v>426</v>
      </c>
      <c r="Y10" s="22">
        <v>229.5</v>
      </c>
      <c r="Z10" s="22">
        <v>0.5</v>
      </c>
      <c r="AA10" s="22">
        <v>3.156627</v>
      </c>
      <c r="AB10" s="22">
        <v>78.206871</v>
      </c>
      <c r="AC10" s="34" t="s">
        <v>0</v>
      </c>
      <c r="AD10" s="34" t="s">
        <v>0</v>
      </c>
      <c r="AE10" s="34" t="s">
        <v>0</v>
      </c>
      <c r="AF10" s="34" t="s">
        <v>0</v>
      </c>
      <c r="AG10" s="34" t="s">
        <v>0</v>
      </c>
      <c r="AH10" s="34" t="s">
        <v>0</v>
      </c>
      <c r="AI10" s="34" t="s">
        <v>0</v>
      </c>
      <c r="AJ10" s="34" t="s">
        <v>0</v>
      </c>
      <c r="AK10" s="34" t="s">
        <v>0</v>
      </c>
    </row>
    <row r="11" spans="1:37">
      <c r="A11" s="27"/>
      <c r="B11" s="27"/>
      <c r="C11" s="26" t="s">
        <v>42</v>
      </c>
      <c r="D11" s="22">
        <v>0.984103</v>
      </c>
      <c r="E11" s="22">
        <v>0.5</v>
      </c>
      <c r="F11" s="22">
        <v>0.001493</v>
      </c>
      <c r="G11" s="22">
        <v>0.002976</v>
      </c>
      <c r="H11" s="22">
        <v>0.5</v>
      </c>
      <c r="I11" s="22">
        <v>0.5</v>
      </c>
      <c r="J11" s="22">
        <v>0.5</v>
      </c>
      <c r="K11" s="22">
        <v>0.000994</v>
      </c>
      <c r="L11" s="22">
        <v>0.5</v>
      </c>
      <c r="M11" s="22">
        <v>0.100398</v>
      </c>
      <c r="N11" s="22">
        <v>0.167219</v>
      </c>
      <c r="O11" s="22">
        <v>0.5</v>
      </c>
      <c r="P11" s="22">
        <v>0.264325</v>
      </c>
      <c r="Q11" s="22">
        <v>0.345828</v>
      </c>
      <c r="R11" s="22">
        <v>0.743399</v>
      </c>
      <c r="S11" s="22">
        <v>0.555881</v>
      </c>
      <c r="T11" s="22">
        <v>0.960295</v>
      </c>
      <c r="U11" s="22">
        <v>0.932332</v>
      </c>
      <c r="V11" s="22">
        <v>0.922782</v>
      </c>
      <c r="W11" s="25">
        <v>0.875116</v>
      </c>
      <c r="X11" s="22" t="s">
        <v>0</v>
      </c>
      <c r="Y11" s="22">
        <v>39</v>
      </c>
      <c r="Z11" s="22">
        <v>0</v>
      </c>
      <c r="AA11" s="22">
        <v>0.506024</v>
      </c>
      <c r="AB11" s="22">
        <v>31.15</v>
      </c>
      <c r="AC11" s="34" t="s">
        <v>0</v>
      </c>
      <c r="AD11" s="34" t="s">
        <v>0</v>
      </c>
      <c r="AE11" s="34" t="s">
        <v>0</v>
      </c>
      <c r="AF11" s="34" t="s">
        <v>0</v>
      </c>
      <c r="AG11" s="34" t="s">
        <v>0</v>
      </c>
      <c r="AH11" s="34" t="s">
        <v>0</v>
      </c>
      <c r="AI11" s="34" t="s">
        <v>0</v>
      </c>
      <c r="AJ11" s="34" t="s">
        <v>0</v>
      </c>
      <c r="AK11" s="34" t="s">
        <v>0</v>
      </c>
    </row>
    <row r="12" spans="1:37">
      <c r="A12" s="27"/>
      <c r="B12" s="27"/>
      <c r="C12" s="26" t="s">
        <v>43</v>
      </c>
      <c r="D12" s="22">
        <v>0.963688</v>
      </c>
      <c r="E12" s="22">
        <v>1</v>
      </c>
      <c r="F12" s="22">
        <v>0.016898</v>
      </c>
      <c r="G12" s="22">
        <v>0.033113</v>
      </c>
      <c r="H12" s="22">
        <v>1</v>
      </c>
      <c r="I12" s="22">
        <v>1</v>
      </c>
      <c r="J12" s="22">
        <v>1</v>
      </c>
      <c r="K12" s="22">
        <v>0.013807</v>
      </c>
      <c r="L12" s="22">
        <v>1</v>
      </c>
      <c r="M12" s="22">
        <v>0.202848</v>
      </c>
      <c r="N12" s="22">
        <v>0.337279</v>
      </c>
      <c r="O12" s="22">
        <v>1</v>
      </c>
      <c r="P12" s="22">
        <v>0.61991</v>
      </c>
      <c r="Q12" s="22">
        <v>0.761656</v>
      </c>
      <c r="R12" s="22">
        <v>0.719875</v>
      </c>
      <c r="S12" s="22">
        <v>0.497878</v>
      </c>
      <c r="T12" s="22">
        <v>0.937245</v>
      </c>
      <c r="U12" s="22">
        <v>0.896143</v>
      </c>
      <c r="V12" s="22">
        <v>0.904514</v>
      </c>
      <c r="W12" s="25">
        <v>0.845669</v>
      </c>
      <c r="X12" s="22" t="s">
        <v>0</v>
      </c>
      <c r="Y12" s="22">
        <v>379.5</v>
      </c>
      <c r="Z12" s="22">
        <v>0</v>
      </c>
      <c r="AA12" s="22">
        <v>0.819277</v>
      </c>
      <c r="AB12" s="22">
        <v>127.916667</v>
      </c>
      <c r="AC12" s="34" t="s">
        <v>0</v>
      </c>
      <c r="AD12" s="34" t="s">
        <v>0</v>
      </c>
      <c r="AE12" s="34" t="s">
        <v>0</v>
      </c>
      <c r="AF12" s="34" t="s">
        <v>0</v>
      </c>
      <c r="AG12" s="34" t="s">
        <v>0</v>
      </c>
      <c r="AH12" s="34" t="s">
        <v>0</v>
      </c>
      <c r="AI12" s="34" t="s">
        <v>0</v>
      </c>
      <c r="AJ12" s="34" t="s">
        <v>0</v>
      </c>
      <c r="AK12" s="34" t="s">
        <v>0</v>
      </c>
    </row>
    <row r="13" spans="1:37">
      <c r="A13" s="27"/>
      <c r="B13" s="27"/>
      <c r="C13" s="29" t="s">
        <v>44</v>
      </c>
      <c r="D13" s="22">
        <v>0.991968</v>
      </c>
      <c r="E13" s="22">
        <v>0.435185</v>
      </c>
      <c r="F13" s="22">
        <v>0.005453</v>
      </c>
      <c r="G13" s="22">
        <v>0.010646</v>
      </c>
      <c r="H13" s="22">
        <v>0.445652</v>
      </c>
      <c r="I13" s="22">
        <v>1</v>
      </c>
      <c r="J13" s="22">
        <v>0.614583</v>
      </c>
      <c r="K13" s="22">
        <v>0.002965</v>
      </c>
      <c r="L13" s="22">
        <v>0.445652</v>
      </c>
      <c r="M13" s="22">
        <v>0.200838</v>
      </c>
      <c r="N13" s="22">
        <v>0.276001</v>
      </c>
      <c r="O13" s="22">
        <v>0.572788</v>
      </c>
      <c r="P13" s="22">
        <v>0.784527</v>
      </c>
      <c r="Q13" s="22">
        <v>0.658711</v>
      </c>
      <c r="R13" s="22">
        <v>0.675802</v>
      </c>
      <c r="S13" s="22">
        <v>0.453209</v>
      </c>
      <c r="T13" s="22">
        <v>0.957797</v>
      </c>
      <c r="U13" s="22">
        <v>0.925456</v>
      </c>
      <c r="V13" s="22">
        <v>0.918914</v>
      </c>
      <c r="W13" s="25">
        <v>0.866749</v>
      </c>
      <c r="X13" s="22">
        <v>328</v>
      </c>
      <c r="Y13" s="22">
        <v>460.5</v>
      </c>
      <c r="Z13" s="22">
        <v>0.5</v>
      </c>
      <c r="AA13" s="22">
        <v>1.036145</v>
      </c>
      <c r="AB13" s="22">
        <v>128.160539</v>
      </c>
      <c r="AC13" s="34" t="s">
        <v>0</v>
      </c>
      <c r="AD13" s="34" t="s">
        <v>0</v>
      </c>
      <c r="AE13" s="34" t="s">
        <v>0</v>
      </c>
      <c r="AF13" s="34" t="s">
        <v>0</v>
      </c>
      <c r="AG13" s="34" t="s">
        <v>0</v>
      </c>
      <c r="AH13" s="34" t="s">
        <v>0</v>
      </c>
      <c r="AI13" s="34" t="s">
        <v>0</v>
      </c>
      <c r="AJ13" s="34" t="s">
        <v>0</v>
      </c>
      <c r="AK13" s="34" t="s">
        <v>0</v>
      </c>
    </row>
    <row r="14" spans="1:37">
      <c r="A14" s="27"/>
      <c r="B14" s="28"/>
      <c r="C14" s="26" t="s">
        <v>45</v>
      </c>
      <c r="D14" s="22">
        <v>0.984103</v>
      </c>
      <c r="E14" s="22">
        <v>0.5</v>
      </c>
      <c r="F14" s="22">
        <v>0.001493</v>
      </c>
      <c r="G14" s="22">
        <v>0.002976</v>
      </c>
      <c r="H14" s="22">
        <v>0.5</v>
      </c>
      <c r="I14" s="22">
        <v>0.5</v>
      </c>
      <c r="J14" s="22">
        <v>0.5</v>
      </c>
      <c r="K14" s="22">
        <v>0.000994</v>
      </c>
      <c r="L14" s="22">
        <v>0.5</v>
      </c>
      <c r="M14" s="22">
        <v>0.100398</v>
      </c>
      <c r="N14" s="22">
        <v>0.167219</v>
      </c>
      <c r="O14" s="22">
        <v>0.5</v>
      </c>
      <c r="P14" s="22">
        <v>0.264325</v>
      </c>
      <c r="Q14" s="22">
        <v>0.345828</v>
      </c>
      <c r="R14" s="22">
        <v>0.708715</v>
      </c>
      <c r="S14" s="22">
        <v>0.504747</v>
      </c>
      <c r="T14" s="22">
        <v>0.957934</v>
      </c>
      <c r="U14" s="22">
        <v>0.927667</v>
      </c>
      <c r="V14" s="22">
        <v>0.916481</v>
      </c>
      <c r="W14" s="25">
        <v>0.865556</v>
      </c>
      <c r="X14" s="22" t="s">
        <v>0</v>
      </c>
      <c r="Y14" s="22">
        <v>39</v>
      </c>
      <c r="Z14" s="22">
        <v>0</v>
      </c>
      <c r="AA14" s="22">
        <v>0.506024</v>
      </c>
      <c r="AB14" s="22">
        <v>31.15</v>
      </c>
      <c r="AC14" s="34" t="s">
        <v>0</v>
      </c>
      <c r="AD14" s="34" t="s">
        <v>0</v>
      </c>
      <c r="AE14" s="34" t="s">
        <v>0</v>
      </c>
      <c r="AF14" s="34" t="s">
        <v>0</v>
      </c>
      <c r="AG14" s="34" t="s">
        <v>0</v>
      </c>
      <c r="AH14" s="34" t="s">
        <v>0</v>
      </c>
      <c r="AI14" s="34" t="s">
        <v>0</v>
      </c>
      <c r="AJ14" s="34" t="s">
        <v>0</v>
      </c>
      <c r="AK14" s="34" t="s">
        <v>0</v>
      </c>
    </row>
    <row r="15" spans="1:37">
      <c r="A15" s="27"/>
      <c r="B15" s="30" t="s">
        <v>46</v>
      </c>
      <c r="C15" s="26" t="s">
        <v>47</v>
      </c>
      <c r="D15" s="22">
        <v>0.997657</v>
      </c>
      <c r="E15" s="22">
        <v>0.666667</v>
      </c>
      <c r="F15" s="22">
        <v>0.005467</v>
      </c>
      <c r="G15" s="22">
        <v>0.010844</v>
      </c>
      <c r="H15" s="22">
        <v>0.625</v>
      </c>
      <c r="I15" s="22">
        <v>1</v>
      </c>
      <c r="J15" s="22">
        <v>0.7</v>
      </c>
      <c r="K15" s="22">
        <v>0.003953</v>
      </c>
      <c r="L15" s="22">
        <v>0.625</v>
      </c>
      <c r="M15" s="22">
        <v>0.20105</v>
      </c>
      <c r="N15" s="22">
        <v>0.278775</v>
      </c>
      <c r="O15" s="22">
        <v>0.74675</v>
      </c>
      <c r="P15" s="22">
        <v>0.818018</v>
      </c>
      <c r="Q15" s="22">
        <v>0.767205</v>
      </c>
      <c r="R15" s="22">
        <v>0.703043</v>
      </c>
      <c r="S15" s="22">
        <v>0.509992</v>
      </c>
      <c r="T15" s="22">
        <v>0.96188</v>
      </c>
      <c r="U15" s="22">
        <v>0.93452</v>
      </c>
      <c r="V15" s="22">
        <v>0.92096</v>
      </c>
      <c r="W15" s="25">
        <v>0.874212</v>
      </c>
      <c r="X15" s="22">
        <v>2</v>
      </c>
      <c r="Y15" s="22">
        <v>128.5</v>
      </c>
      <c r="Z15" s="22">
        <v>0</v>
      </c>
      <c r="AA15" s="22">
        <v>0.289157</v>
      </c>
      <c r="AB15" s="22">
        <v>135.875</v>
      </c>
      <c r="AC15" s="34" t="s">
        <v>0</v>
      </c>
      <c r="AD15" s="34" t="s">
        <v>0</v>
      </c>
      <c r="AE15" s="34" t="s">
        <v>0</v>
      </c>
      <c r="AF15" s="34" t="s">
        <v>0</v>
      </c>
      <c r="AG15" s="34" t="s">
        <v>0</v>
      </c>
      <c r="AH15" s="34" t="s">
        <v>0</v>
      </c>
      <c r="AI15" s="34" t="s">
        <v>0</v>
      </c>
      <c r="AJ15" s="34" t="s">
        <v>0</v>
      </c>
      <c r="AK15" s="34" t="s">
        <v>0</v>
      </c>
    </row>
    <row r="16" spans="1:37">
      <c r="A16" s="27"/>
      <c r="B16" s="27"/>
      <c r="C16" s="26" t="s">
        <v>48</v>
      </c>
      <c r="D16" s="22">
        <v>0.987617</v>
      </c>
      <c r="E16" s="22">
        <v>0.582512</v>
      </c>
      <c r="F16" s="22">
        <v>0.010924</v>
      </c>
      <c r="G16" s="22">
        <v>0.021392</v>
      </c>
      <c r="H16" s="22">
        <v>0.578042</v>
      </c>
      <c r="I16" s="22">
        <v>1</v>
      </c>
      <c r="J16" s="22">
        <v>0.71027</v>
      </c>
      <c r="K16" s="22">
        <v>0.002965</v>
      </c>
      <c r="L16" s="22">
        <v>0.578042</v>
      </c>
      <c r="M16" s="22">
        <v>0.200834</v>
      </c>
      <c r="N16" s="22">
        <v>0.290163</v>
      </c>
      <c r="O16" s="22">
        <v>0.697647</v>
      </c>
      <c r="P16" s="22">
        <v>0.91634</v>
      </c>
      <c r="Q16" s="22">
        <v>0.78788</v>
      </c>
      <c r="R16" s="22">
        <v>0.681474</v>
      </c>
      <c r="S16" s="22">
        <v>0.462499</v>
      </c>
      <c r="T16" s="22">
        <v>0.959134</v>
      </c>
      <c r="U16" s="22">
        <v>0.929318</v>
      </c>
      <c r="V16" s="22">
        <v>0.920729</v>
      </c>
      <c r="W16" s="25">
        <v>0.871878</v>
      </c>
      <c r="X16" s="22">
        <v>328</v>
      </c>
      <c r="Y16" s="22">
        <v>259.5</v>
      </c>
      <c r="Z16" s="22">
        <v>0.5</v>
      </c>
      <c r="AA16" s="22">
        <v>1.662651</v>
      </c>
      <c r="AB16" s="22">
        <v>82.03405</v>
      </c>
      <c r="AC16" s="34" t="s">
        <v>0</v>
      </c>
      <c r="AD16" s="34" t="s">
        <v>0</v>
      </c>
      <c r="AE16" s="34" t="s">
        <v>0</v>
      </c>
      <c r="AF16" s="34" t="s">
        <v>0</v>
      </c>
      <c r="AG16" s="34" t="s">
        <v>0</v>
      </c>
      <c r="AH16" s="34" t="s">
        <v>0</v>
      </c>
      <c r="AI16" s="34" t="s">
        <v>0</v>
      </c>
      <c r="AJ16" s="34" t="s">
        <v>0</v>
      </c>
      <c r="AK16" s="34" t="s">
        <v>0</v>
      </c>
    </row>
    <row r="17" spans="1:37">
      <c r="A17" s="27"/>
      <c r="B17" s="27"/>
      <c r="C17" s="26" t="s">
        <v>49</v>
      </c>
      <c r="D17" s="22">
        <v>0.995984</v>
      </c>
      <c r="E17" s="22">
        <v>0.538462</v>
      </c>
      <c r="F17" s="22">
        <v>0.002983</v>
      </c>
      <c r="G17" s="22">
        <v>0.005929</v>
      </c>
      <c r="H17" s="22">
        <v>0.5625</v>
      </c>
      <c r="I17" s="22">
        <v>1</v>
      </c>
      <c r="J17" s="22">
        <v>0.611111</v>
      </c>
      <c r="K17" s="22">
        <v>0.001977</v>
      </c>
      <c r="L17" s="22">
        <v>0.5625</v>
      </c>
      <c r="M17" s="22">
        <v>0.200794</v>
      </c>
      <c r="N17" s="22">
        <v>0.244259</v>
      </c>
      <c r="O17" s="22">
        <v>0.714199</v>
      </c>
      <c r="P17" s="22">
        <v>0.77147</v>
      </c>
      <c r="Q17" s="22">
        <v>0.71947</v>
      </c>
      <c r="R17" s="22">
        <v>0.671388</v>
      </c>
      <c r="S17" s="22">
        <v>0.452881</v>
      </c>
      <c r="T17" s="22">
        <v>0.956045</v>
      </c>
      <c r="U17" s="22">
        <v>0.926682</v>
      </c>
      <c r="V17" s="22">
        <v>0.912187</v>
      </c>
      <c r="W17" s="25">
        <v>0.860016</v>
      </c>
      <c r="X17" s="22">
        <v>57</v>
      </c>
      <c r="Y17" s="22">
        <v>733</v>
      </c>
      <c r="Z17" s="22">
        <v>0</v>
      </c>
      <c r="AA17" s="22">
        <v>0.457831</v>
      </c>
      <c r="AB17" s="22">
        <v>256.378571</v>
      </c>
      <c r="AC17" s="34" t="s">
        <v>0</v>
      </c>
      <c r="AD17" s="34" t="s">
        <v>0</v>
      </c>
      <c r="AE17" s="34" t="s">
        <v>0</v>
      </c>
      <c r="AF17" s="34" t="s">
        <v>0</v>
      </c>
      <c r="AG17" s="34" t="s">
        <v>0</v>
      </c>
      <c r="AH17" s="34" t="s">
        <v>0</v>
      </c>
      <c r="AI17" s="34" t="s">
        <v>0</v>
      </c>
      <c r="AJ17" s="34" t="s">
        <v>0</v>
      </c>
      <c r="AK17" s="34" t="s">
        <v>0</v>
      </c>
    </row>
    <row r="18" spans="1:37">
      <c r="A18" s="27"/>
      <c r="B18" s="27"/>
      <c r="C18" s="26" t="s">
        <v>50</v>
      </c>
      <c r="D18" s="22">
        <v>0.987952</v>
      </c>
      <c r="E18" s="22">
        <v>0.770833</v>
      </c>
      <c r="F18" s="22">
        <v>0.01042</v>
      </c>
      <c r="G18" s="22">
        <v>0.020502</v>
      </c>
      <c r="H18" s="22">
        <v>0.709821</v>
      </c>
      <c r="I18" s="22">
        <v>1</v>
      </c>
      <c r="J18" s="22">
        <v>0.821538</v>
      </c>
      <c r="K18" s="22">
        <v>0.004943</v>
      </c>
      <c r="L18" s="22">
        <v>0.709821</v>
      </c>
      <c r="M18" s="22">
        <v>0.201081</v>
      </c>
      <c r="N18" s="22">
        <v>0.310983</v>
      </c>
      <c r="O18" s="22">
        <v>0.809737</v>
      </c>
      <c r="P18" s="22">
        <v>0.926631</v>
      </c>
      <c r="Q18" s="22">
        <v>0.861372</v>
      </c>
      <c r="R18" s="22">
        <v>0.672306</v>
      </c>
      <c r="S18" s="22">
        <v>0.416836</v>
      </c>
      <c r="T18" s="22">
        <v>0.951399</v>
      </c>
      <c r="U18" s="22">
        <v>0.916552</v>
      </c>
      <c r="V18" s="22">
        <v>0.912974</v>
      </c>
      <c r="W18" s="25">
        <v>0.859868</v>
      </c>
      <c r="X18" s="22">
        <v>348</v>
      </c>
      <c r="Y18" s="22">
        <v>175.5</v>
      </c>
      <c r="Z18" s="22">
        <v>0.5</v>
      </c>
      <c r="AA18" s="22">
        <v>1.373494</v>
      </c>
      <c r="AB18" s="22">
        <v>105.761549</v>
      </c>
      <c r="AC18" s="34" t="s">
        <v>0</v>
      </c>
      <c r="AD18" s="34" t="s">
        <v>0</v>
      </c>
      <c r="AE18" s="34" t="s">
        <v>0</v>
      </c>
      <c r="AF18" s="34" t="s">
        <v>0</v>
      </c>
      <c r="AG18" s="34" t="s">
        <v>0</v>
      </c>
      <c r="AH18" s="34" t="s">
        <v>0</v>
      </c>
      <c r="AI18" s="34" t="s">
        <v>0</v>
      </c>
      <c r="AJ18" s="34" t="s">
        <v>0</v>
      </c>
      <c r="AK18" s="34" t="s">
        <v>0</v>
      </c>
    </row>
    <row r="19" spans="1:37">
      <c r="A19" s="27"/>
      <c r="B19" s="27"/>
      <c r="C19" s="26" t="s">
        <v>51</v>
      </c>
      <c r="D19" s="22">
        <v>0.992637</v>
      </c>
      <c r="E19" s="22">
        <v>0.259259</v>
      </c>
      <c r="F19" s="22">
        <v>0.006938</v>
      </c>
      <c r="G19" s="22">
        <v>0.013514</v>
      </c>
      <c r="H19" s="22">
        <v>0.25</v>
      </c>
      <c r="I19" s="22">
        <v>0.5</v>
      </c>
      <c r="J19" s="22">
        <v>0.333333</v>
      </c>
      <c r="K19" s="22">
        <v>0.002956</v>
      </c>
      <c r="L19" s="22">
        <v>0.25</v>
      </c>
      <c r="M19" s="22">
        <v>0.100617</v>
      </c>
      <c r="N19" s="22">
        <v>0.143485</v>
      </c>
      <c r="O19" s="22">
        <v>0.335638</v>
      </c>
      <c r="P19" s="22">
        <v>0.469067</v>
      </c>
      <c r="Q19" s="22">
        <v>0.39129</v>
      </c>
      <c r="R19" s="22">
        <v>0.62493</v>
      </c>
      <c r="S19" s="22">
        <v>0.318667</v>
      </c>
      <c r="T19" s="22">
        <v>0.955537</v>
      </c>
      <c r="U19" s="22">
        <v>0.920138</v>
      </c>
      <c r="V19" s="22">
        <v>0.910149</v>
      </c>
      <c r="W19" s="25">
        <v>0.847059</v>
      </c>
      <c r="X19" s="22">
        <v>50</v>
      </c>
      <c r="Y19" s="22">
        <v>63</v>
      </c>
      <c r="Z19" s="22">
        <v>0</v>
      </c>
      <c r="AA19" s="22">
        <v>0.722892</v>
      </c>
      <c r="AB19" s="22">
        <v>163.292398</v>
      </c>
      <c r="AC19" s="34" t="s">
        <v>0</v>
      </c>
      <c r="AD19" s="34" t="s">
        <v>0</v>
      </c>
      <c r="AE19" s="34" t="s">
        <v>0</v>
      </c>
      <c r="AF19" s="34" t="s">
        <v>0</v>
      </c>
      <c r="AG19" s="34" t="s">
        <v>0</v>
      </c>
      <c r="AH19" s="34" t="s">
        <v>0</v>
      </c>
      <c r="AI19" s="34" t="s">
        <v>0</v>
      </c>
      <c r="AJ19" s="34" t="s">
        <v>0</v>
      </c>
      <c r="AK19" s="34" t="s">
        <v>0</v>
      </c>
    </row>
    <row r="20" spans="1:37">
      <c r="A20" s="27"/>
      <c r="B20" s="27"/>
      <c r="C20" s="26" t="s">
        <v>52</v>
      </c>
      <c r="D20" s="22">
        <v>0.990295</v>
      </c>
      <c r="E20" s="22">
        <v>0.673077</v>
      </c>
      <c r="F20" s="22">
        <v>0.009932</v>
      </c>
      <c r="G20" s="22">
        <v>0.019569</v>
      </c>
      <c r="H20" s="22">
        <v>0.673077</v>
      </c>
      <c r="I20" s="22">
        <v>1</v>
      </c>
      <c r="J20" s="22">
        <v>0.791667</v>
      </c>
      <c r="K20" s="22">
        <v>0.001983</v>
      </c>
      <c r="L20" s="22">
        <v>0.673077</v>
      </c>
      <c r="M20" s="22">
        <v>0.200794</v>
      </c>
      <c r="N20" s="22">
        <v>0.305546</v>
      </c>
      <c r="O20" s="22">
        <v>0.737791</v>
      </c>
      <c r="P20" s="22">
        <v>0.956894</v>
      </c>
      <c r="Q20" s="22">
        <v>0.827667</v>
      </c>
      <c r="R20" s="22">
        <v>0.689351</v>
      </c>
      <c r="S20" s="22">
        <v>0.478806</v>
      </c>
      <c r="T20" s="22">
        <v>0.958916</v>
      </c>
      <c r="U20" s="22">
        <v>0.90675</v>
      </c>
      <c r="V20" s="22">
        <v>0.91067</v>
      </c>
      <c r="W20" s="25">
        <v>0.849507</v>
      </c>
      <c r="X20" s="22">
        <v>361</v>
      </c>
      <c r="Y20" s="22">
        <v>70.5</v>
      </c>
      <c r="Z20" s="22">
        <v>0.5</v>
      </c>
      <c r="AA20" s="22">
        <v>1.373494</v>
      </c>
      <c r="AB20" s="22">
        <v>103.927871</v>
      </c>
      <c r="AC20" s="34" t="s">
        <v>0</v>
      </c>
      <c r="AD20" s="34" t="s">
        <v>0</v>
      </c>
      <c r="AE20" s="34" t="s">
        <v>0</v>
      </c>
      <c r="AF20" s="34" t="s">
        <v>0</v>
      </c>
      <c r="AG20" s="34" t="s">
        <v>0</v>
      </c>
      <c r="AH20" s="34" t="s">
        <v>0</v>
      </c>
      <c r="AI20" s="34" t="s">
        <v>0</v>
      </c>
      <c r="AJ20" s="34" t="s">
        <v>0</v>
      </c>
      <c r="AK20" s="34" t="s">
        <v>0</v>
      </c>
    </row>
    <row r="21" spans="1:37">
      <c r="A21" s="27"/>
      <c r="B21" s="27"/>
      <c r="C21" s="26" t="s">
        <v>53</v>
      </c>
      <c r="D21" s="30">
        <v>0.991968</v>
      </c>
      <c r="E21" s="30">
        <v>0.047619</v>
      </c>
      <c r="F21" s="30">
        <v>0.001982</v>
      </c>
      <c r="G21" s="30">
        <v>0.003806</v>
      </c>
      <c r="H21" s="30">
        <v>0.166667</v>
      </c>
      <c r="I21" s="30">
        <v>0.5</v>
      </c>
      <c r="J21" s="30">
        <v>0.25</v>
      </c>
      <c r="K21" s="30">
        <v>0.00197</v>
      </c>
      <c r="L21" s="30">
        <v>0.166667</v>
      </c>
      <c r="M21" s="30">
        <v>0.100793</v>
      </c>
      <c r="N21" s="30">
        <v>0.125618</v>
      </c>
      <c r="O21" s="30">
        <v>0.248129</v>
      </c>
      <c r="P21" s="30">
        <v>0.416427</v>
      </c>
      <c r="Q21" s="30">
        <v>0.310967</v>
      </c>
      <c r="R21" s="30">
        <v>0.633549</v>
      </c>
      <c r="S21" s="30">
        <v>0.396735</v>
      </c>
      <c r="T21" s="30">
        <v>0.959703</v>
      </c>
      <c r="U21" s="30">
        <v>0.92627</v>
      </c>
      <c r="V21" s="30">
        <v>0.91565</v>
      </c>
      <c r="W21" s="31">
        <v>0.861912</v>
      </c>
      <c r="X21" s="30" t="s">
        <v>0</v>
      </c>
      <c r="Y21" s="30">
        <v>241</v>
      </c>
      <c r="Z21" s="30">
        <v>0</v>
      </c>
      <c r="AA21" s="30">
        <v>0.337349</v>
      </c>
      <c r="AB21" s="30">
        <v>274.227273</v>
      </c>
      <c r="AC21" s="34" t="s">
        <v>0</v>
      </c>
      <c r="AD21" s="34" t="s">
        <v>0</v>
      </c>
      <c r="AE21" s="34" t="s">
        <v>0</v>
      </c>
      <c r="AF21" s="34" t="s">
        <v>0</v>
      </c>
      <c r="AG21" s="34" t="s">
        <v>0</v>
      </c>
      <c r="AH21" s="34" t="s">
        <v>0</v>
      </c>
      <c r="AI21" s="34" t="s">
        <v>0</v>
      </c>
      <c r="AJ21" s="34" t="s">
        <v>0</v>
      </c>
      <c r="AK21" s="34" t="s">
        <v>0</v>
      </c>
    </row>
    <row r="22" spans="1:37">
      <c r="A22" s="27"/>
      <c r="B22" s="27"/>
      <c r="C22" s="26" t="s">
        <v>54</v>
      </c>
      <c r="D22" s="22">
        <v>0.991801</v>
      </c>
      <c r="E22" s="22">
        <v>0.659091</v>
      </c>
      <c r="F22" s="22">
        <v>0.006454</v>
      </c>
      <c r="G22" s="22">
        <v>0.012724</v>
      </c>
      <c r="H22" s="22">
        <v>0.666667</v>
      </c>
      <c r="I22" s="22">
        <v>1</v>
      </c>
      <c r="J22" s="22">
        <v>0.75</v>
      </c>
      <c r="K22" s="22">
        <v>0.004933</v>
      </c>
      <c r="L22" s="22">
        <v>0.666667</v>
      </c>
      <c r="M22" s="22">
        <v>0.201171</v>
      </c>
      <c r="N22" s="22">
        <v>0.29287</v>
      </c>
      <c r="O22" s="22">
        <v>0.79355</v>
      </c>
      <c r="P22" s="22">
        <v>0.82347</v>
      </c>
      <c r="Q22" s="22">
        <v>0.792577</v>
      </c>
      <c r="R22" s="22">
        <v>0.683385</v>
      </c>
      <c r="S22" s="22">
        <v>0.459722</v>
      </c>
      <c r="T22" s="22">
        <v>0.964427</v>
      </c>
      <c r="U22" s="22">
        <v>0.933846</v>
      </c>
      <c r="V22" s="22">
        <v>0.926102</v>
      </c>
      <c r="W22" s="22">
        <v>0.877679</v>
      </c>
      <c r="X22" s="22">
        <v>45</v>
      </c>
      <c r="Y22" s="22">
        <v>335.5</v>
      </c>
      <c r="Z22" s="22">
        <v>0</v>
      </c>
      <c r="AA22" s="22">
        <v>0.60241</v>
      </c>
      <c r="AB22" s="22">
        <v>211.096154</v>
      </c>
      <c r="AC22" s="34" t="s">
        <v>0</v>
      </c>
      <c r="AD22" s="34" t="s">
        <v>0</v>
      </c>
      <c r="AE22" s="34" t="s">
        <v>0</v>
      </c>
      <c r="AF22" s="34" t="s">
        <v>0</v>
      </c>
      <c r="AG22" s="34" t="s">
        <v>0</v>
      </c>
      <c r="AH22" s="34" t="s">
        <v>0</v>
      </c>
      <c r="AI22" s="34" t="s">
        <v>0</v>
      </c>
      <c r="AJ22" s="34" t="s">
        <v>0</v>
      </c>
      <c r="AK22" s="34" t="s">
        <v>0</v>
      </c>
    </row>
    <row r="23" spans="1:37">
      <c r="A23" s="27"/>
      <c r="B23" s="27"/>
      <c r="C23" s="26" t="s">
        <v>55</v>
      </c>
      <c r="D23" s="32">
        <v>0.991131</v>
      </c>
      <c r="E23" s="32">
        <v>0.631579</v>
      </c>
      <c r="F23" s="32">
        <v>0.00596</v>
      </c>
      <c r="G23" s="32">
        <v>0.011781</v>
      </c>
      <c r="H23" s="32">
        <v>0.666667</v>
      </c>
      <c r="I23" s="32">
        <v>1</v>
      </c>
      <c r="J23" s="32">
        <v>0.75</v>
      </c>
      <c r="K23" s="32">
        <v>0.004947</v>
      </c>
      <c r="L23" s="32">
        <v>0.666667</v>
      </c>
      <c r="M23" s="32">
        <v>0.201053</v>
      </c>
      <c r="N23" s="32">
        <v>0.292826</v>
      </c>
      <c r="O23" s="32">
        <v>0.757378</v>
      </c>
      <c r="P23" s="32">
        <v>0.83262</v>
      </c>
      <c r="Q23" s="32">
        <v>0.763157</v>
      </c>
      <c r="R23" s="32">
        <v>0.65846</v>
      </c>
      <c r="S23" s="32">
        <v>0.404205</v>
      </c>
      <c r="T23" s="32">
        <v>0.957051</v>
      </c>
      <c r="U23" s="32">
        <v>0.921736</v>
      </c>
      <c r="V23" s="32">
        <v>0.910578</v>
      </c>
      <c r="W23" s="33">
        <v>0.856106</v>
      </c>
      <c r="X23" s="32">
        <v>330</v>
      </c>
      <c r="Y23" s="32">
        <v>371.5</v>
      </c>
      <c r="Z23" s="32">
        <v>0.5</v>
      </c>
      <c r="AA23" s="32">
        <v>0.554217</v>
      </c>
      <c r="AB23" s="32">
        <v>270.958333</v>
      </c>
      <c r="AC23" s="34" t="s">
        <v>0</v>
      </c>
      <c r="AD23" s="34" t="s">
        <v>0</v>
      </c>
      <c r="AE23" s="34" t="s">
        <v>0</v>
      </c>
      <c r="AF23" s="34" t="s">
        <v>0</v>
      </c>
      <c r="AG23" s="34" t="s">
        <v>0</v>
      </c>
      <c r="AH23" s="34" t="s">
        <v>0</v>
      </c>
      <c r="AI23" s="34" t="s">
        <v>0</v>
      </c>
      <c r="AJ23" s="34" t="s">
        <v>0</v>
      </c>
      <c r="AK23" s="34" t="s">
        <v>0</v>
      </c>
    </row>
    <row r="24" spans="1:37">
      <c r="A24" s="27"/>
      <c r="B24" s="27"/>
      <c r="C24" s="26" t="s">
        <v>56</v>
      </c>
      <c r="D24" s="22">
        <v>0.985944</v>
      </c>
      <c r="E24" s="22">
        <v>0.571429</v>
      </c>
      <c r="F24" s="22">
        <v>0.001489</v>
      </c>
      <c r="G24" s="22">
        <v>0.002949</v>
      </c>
      <c r="H24" s="22">
        <v>0.666667</v>
      </c>
      <c r="I24" s="22">
        <v>1</v>
      </c>
      <c r="J24" s="22">
        <v>0.75</v>
      </c>
      <c r="K24" s="22">
        <v>0.002964</v>
      </c>
      <c r="L24" s="22">
        <v>0.666667</v>
      </c>
      <c r="M24" s="22">
        <v>0.201191</v>
      </c>
      <c r="N24" s="22">
        <v>0.292837</v>
      </c>
      <c r="O24" s="22">
        <v>0.75278</v>
      </c>
      <c r="P24" s="22">
        <v>0.579082</v>
      </c>
      <c r="Q24" s="22">
        <v>0.565501</v>
      </c>
      <c r="R24" s="22">
        <v>0.660343</v>
      </c>
      <c r="S24" s="22">
        <v>0.496401</v>
      </c>
      <c r="T24" s="22">
        <v>0.913762</v>
      </c>
      <c r="U24" s="22">
        <v>0.889501</v>
      </c>
      <c r="V24" s="22">
        <v>0.884912</v>
      </c>
      <c r="W24" s="25">
        <v>0.848808</v>
      </c>
      <c r="X24" s="22" t="s">
        <v>0</v>
      </c>
      <c r="Y24" s="22">
        <v>140</v>
      </c>
      <c r="Z24" s="22">
        <v>0</v>
      </c>
      <c r="AA24" s="22">
        <v>0.626506</v>
      </c>
      <c r="AB24" s="22">
        <v>71.956522</v>
      </c>
      <c r="AC24" s="34" t="s">
        <v>0</v>
      </c>
      <c r="AD24" s="34" t="s">
        <v>0</v>
      </c>
      <c r="AE24" s="34" t="s">
        <v>0</v>
      </c>
      <c r="AF24" s="34" t="s">
        <v>0</v>
      </c>
      <c r="AG24" s="34" t="s">
        <v>0</v>
      </c>
      <c r="AH24" s="34" t="s">
        <v>0</v>
      </c>
      <c r="AI24" s="34" t="s">
        <v>0</v>
      </c>
      <c r="AJ24" s="34" t="s">
        <v>0</v>
      </c>
      <c r="AK24" s="34" t="s">
        <v>0</v>
      </c>
    </row>
    <row r="25" spans="1:37">
      <c r="A25" s="27"/>
      <c r="B25" s="27"/>
      <c r="C25" s="26" t="s">
        <v>57</v>
      </c>
      <c r="D25" s="22">
        <v>0.990964</v>
      </c>
      <c r="E25" s="22">
        <v>0.627193</v>
      </c>
      <c r="F25" s="22">
        <v>0.006452</v>
      </c>
      <c r="G25" s="22">
        <v>0.012728</v>
      </c>
      <c r="H25" s="22">
        <v>0.666667</v>
      </c>
      <c r="I25" s="22">
        <v>1</v>
      </c>
      <c r="J25" s="22">
        <v>0.787879</v>
      </c>
      <c r="K25" s="22">
        <v>0.002968</v>
      </c>
      <c r="L25" s="22">
        <v>0.666667</v>
      </c>
      <c r="M25" s="22">
        <v>0.200851</v>
      </c>
      <c r="N25" s="22">
        <v>0.305126</v>
      </c>
      <c r="O25" s="22">
        <v>0.75254</v>
      </c>
      <c r="P25" s="22">
        <v>0.843822</v>
      </c>
      <c r="Q25" s="22">
        <v>0.783099</v>
      </c>
      <c r="R25" s="22">
        <v>0.650154</v>
      </c>
      <c r="S25" s="22">
        <v>0.427554</v>
      </c>
      <c r="T25" s="22">
        <v>0.952701</v>
      </c>
      <c r="U25" s="22">
        <v>0.917697</v>
      </c>
      <c r="V25" s="22">
        <v>0.90854</v>
      </c>
      <c r="W25" s="25">
        <v>0.856639</v>
      </c>
      <c r="X25" s="22">
        <v>323</v>
      </c>
      <c r="Y25" s="22">
        <v>340</v>
      </c>
      <c r="Z25" s="22">
        <v>0.5</v>
      </c>
      <c r="AA25" s="22">
        <v>1.180723</v>
      </c>
      <c r="AB25" s="22">
        <v>131.175</v>
      </c>
      <c r="AC25" s="34" t="s">
        <v>0</v>
      </c>
      <c r="AD25" s="34" t="s">
        <v>0</v>
      </c>
      <c r="AE25" s="34" t="s">
        <v>0</v>
      </c>
      <c r="AF25" s="34" t="s">
        <v>0</v>
      </c>
      <c r="AG25" s="34" t="s">
        <v>0</v>
      </c>
      <c r="AH25" s="34" t="s">
        <v>0</v>
      </c>
      <c r="AI25" s="34" t="s">
        <v>0</v>
      </c>
      <c r="AJ25" s="34" t="s">
        <v>0</v>
      </c>
      <c r="AK25" s="34" t="s">
        <v>0</v>
      </c>
    </row>
    <row r="26" spans="1:37">
      <c r="A26" s="27"/>
      <c r="B26" s="27"/>
      <c r="C26" s="26" t="s">
        <v>58</v>
      </c>
      <c r="D26" s="22">
        <v>0.996151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0.236414</v>
      </c>
      <c r="P26" s="22">
        <v>0.269051</v>
      </c>
      <c r="Q26" s="22">
        <v>0.251679</v>
      </c>
      <c r="R26" s="22">
        <v>0.669345</v>
      </c>
      <c r="S26" s="22">
        <v>0.446304</v>
      </c>
      <c r="T26" s="22">
        <v>0.966508</v>
      </c>
      <c r="U26" s="22">
        <v>0.934001</v>
      </c>
      <c r="V26" s="22">
        <v>0.927386</v>
      </c>
      <c r="W26" s="25">
        <v>0.872924</v>
      </c>
      <c r="X26" s="22" t="s">
        <v>0</v>
      </c>
      <c r="Y26" s="22" t="s">
        <v>0</v>
      </c>
      <c r="Z26" s="22">
        <v>0</v>
      </c>
      <c r="AA26" s="22">
        <v>0.048193</v>
      </c>
      <c r="AB26" s="22">
        <v>117</v>
      </c>
      <c r="AC26" s="34" t="s">
        <v>0</v>
      </c>
      <c r="AD26" s="34" t="s">
        <v>0</v>
      </c>
      <c r="AE26" s="34" t="s">
        <v>0</v>
      </c>
      <c r="AF26" s="34" t="s">
        <v>0</v>
      </c>
      <c r="AG26" s="34" t="s">
        <v>0</v>
      </c>
      <c r="AH26" s="34" t="s">
        <v>0</v>
      </c>
      <c r="AI26" s="34" t="s">
        <v>0</v>
      </c>
      <c r="AJ26" s="34" t="s">
        <v>0</v>
      </c>
      <c r="AK26" s="34" t="s">
        <v>0</v>
      </c>
    </row>
    <row r="27" spans="1:37">
      <c r="A27" s="27"/>
      <c r="B27" s="27"/>
      <c r="C27" s="26" t="s">
        <v>59</v>
      </c>
      <c r="D27" s="22">
        <v>0.99498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0.088498</v>
      </c>
      <c r="P27" s="22">
        <v>0.216039</v>
      </c>
      <c r="Q27" s="22">
        <v>0.125561</v>
      </c>
      <c r="R27" s="22">
        <v>0.693883</v>
      </c>
      <c r="S27" s="22">
        <v>0.457831</v>
      </c>
      <c r="T27" s="22">
        <v>0.965764</v>
      </c>
      <c r="U27" s="22">
        <v>0.936342</v>
      </c>
      <c r="V27" s="22">
        <v>0.916664</v>
      </c>
      <c r="W27" s="25">
        <v>0.864951</v>
      </c>
      <c r="X27" s="22">
        <v>331</v>
      </c>
      <c r="Y27" s="22" t="s">
        <v>0</v>
      </c>
      <c r="Z27" s="22">
        <v>0.5</v>
      </c>
      <c r="AA27" s="22">
        <v>0.072289</v>
      </c>
      <c r="AB27" s="22">
        <v>1040</v>
      </c>
      <c r="AC27" s="34" t="s">
        <v>0</v>
      </c>
      <c r="AD27" s="34" t="s">
        <v>0</v>
      </c>
      <c r="AE27" s="34" t="s">
        <v>0</v>
      </c>
      <c r="AF27" s="34" t="s">
        <v>0</v>
      </c>
      <c r="AG27" s="34" t="s">
        <v>0</v>
      </c>
      <c r="AH27" s="34" t="s">
        <v>0</v>
      </c>
      <c r="AI27" s="34" t="s">
        <v>0</v>
      </c>
      <c r="AJ27" s="34" t="s">
        <v>0</v>
      </c>
      <c r="AK27" s="34" t="s">
        <v>0</v>
      </c>
    </row>
    <row r="28" spans="1:37">
      <c r="A28" s="27"/>
      <c r="B28" s="27"/>
      <c r="C28" s="26" t="s">
        <v>60</v>
      </c>
      <c r="D28" s="22">
        <v>0.993641</v>
      </c>
      <c r="E28" s="22">
        <v>0.569444</v>
      </c>
      <c r="F28" s="22">
        <v>0.004961</v>
      </c>
      <c r="G28" s="22">
        <v>0.009789</v>
      </c>
      <c r="H28" s="22">
        <v>0.580882</v>
      </c>
      <c r="I28" s="22">
        <v>1</v>
      </c>
      <c r="J28" s="22">
        <v>0.720238</v>
      </c>
      <c r="K28" s="22">
        <v>0.001982</v>
      </c>
      <c r="L28" s="22">
        <v>0.580882</v>
      </c>
      <c r="M28" s="22">
        <v>0.200794</v>
      </c>
      <c r="N28" s="22">
        <v>0.293365</v>
      </c>
      <c r="O28" s="22">
        <v>0.689876</v>
      </c>
      <c r="P28" s="22">
        <v>0.788231</v>
      </c>
      <c r="Q28" s="22">
        <v>0.727282</v>
      </c>
      <c r="R28" s="22">
        <v>0.671505</v>
      </c>
      <c r="S28" s="22">
        <v>0.447698</v>
      </c>
      <c r="T28" s="22">
        <v>0.955027</v>
      </c>
      <c r="U28" s="22">
        <v>0.924283</v>
      </c>
      <c r="V28" s="22">
        <v>0.9175</v>
      </c>
      <c r="W28" s="25">
        <v>0.869341</v>
      </c>
      <c r="X28" s="22">
        <v>328</v>
      </c>
      <c r="Y28" s="22">
        <v>418</v>
      </c>
      <c r="Z28" s="22">
        <v>0.5</v>
      </c>
      <c r="AA28" s="22">
        <v>0.843373</v>
      </c>
      <c r="AB28" s="22">
        <v>163.049632</v>
      </c>
      <c r="AC28" s="34" t="s">
        <v>0</v>
      </c>
      <c r="AD28" s="34" t="s">
        <v>0</v>
      </c>
      <c r="AE28" s="34" t="s">
        <v>0</v>
      </c>
      <c r="AF28" s="34" t="s">
        <v>0</v>
      </c>
      <c r="AG28" s="34" t="s">
        <v>0</v>
      </c>
      <c r="AH28" s="34" t="s">
        <v>0</v>
      </c>
      <c r="AI28" s="34" t="s">
        <v>0</v>
      </c>
      <c r="AJ28" s="34" t="s">
        <v>0</v>
      </c>
      <c r="AK28" s="34" t="s">
        <v>0</v>
      </c>
    </row>
    <row r="29" spans="1:37">
      <c r="A29" s="27"/>
      <c r="B29" s="27"/>
      <c r="C29" s="26" t="s">
        <v>61</v>
      </c>
      <c r="D29" s="22">
        <v>0.970047</v>
      </c>
      <c r="E29" s="22">
        <v>0.5</v>
      </c>
      <c r="F29" s="22">
        <v>0.033831</v>
      </c>
      <c r="G29" s="22">
        <v>0.063374</v>
      </c>
      <c r="H29" s="22">
        <v>0.5</v>
      </c>
      <c r="I29" s="22">
        <v>0.5</v>
      </c>
      <c r="J29" s="22">
        <v>0.5</v>
      </c>
      <c r="K29" s="22">
        <v>0.059869</v>
      </c>
      <c r="L29" s="22">
        <v>0.5</v>
      </c>
      <c r="M29" s="22">
        <v>0.109022</v>
      </c>
      <c r="N29" s="22">
        <v>0.179011</v>
      </c>
      <c r="O29" s="22">
        <v>0.5</v>
      </c>
      <c r="P29" s="22">
        <v>0.249246</v>
      </c>
      <c r="Q29" s="22">
        <v>0.332663</v>
      </c>
      <c r="R29" s="22">
        <v>0.744006</v>
      </c>
      <c r="S29" s="22">
        <v>0.448254</v>
      </c>
      <c r="T29" s="22">
        <v>0.939695</v>
      </c>
      <c r="U29" s="22">
        <v>0.889222</v>
      </c>
      <c r="V29" s="22">
        <v>0.909036</v>
      </c>
      <c r="W29" s="25">
        <v>0.831762</v>
      </c>
      <c r="X29" s="22" t="s">
        <v>0</v>
      </c>
      <c r="Y29" s="22">
        <v>20</v>
      </c>
      <c r="Z29" s="22">
        <v>0</v>
      </c>
      <c r="AA29" s="22">
        <v>0.048193</v>
      </c>
      <c r="AB29" s="22">
        <v>474</v>
      </c>
      <c r="AC29" s="34" t="s">
        <v>0</v>
      </c>
      <c r="AD29" s="34" t="s">
        <v>0</v>
      </c>
      <c r="AE29" s="34" t="s">
        <v>0</v>
      </c>
      <c r="AF29" s="34" t="s">
        <v>0</v>
      </c>
      <c r="AG29" s="34" t="s">
        <v>0</v>
      </c>
      <c r="AH29" s="34" t="s">
        <v>0</v>
      </c>
      <c r="AI29" s="34" t="s">
        <v>0</v>
      </c>
      <c r="AJ29" s="34" t="s">
        <v>0</v>
      </c>
      <c r="AK29" s="34" t="s">
        <v>0</v>
      </c>
    </row>
    <row r="30" spans="1:37">
      <c r="A30" s="27"/>
      <c r="B30" s="27"/>
      <c r="C30" s="26" t="s">
        <v>62</v>
      </c>
      <c r="D30" s="22">
        <v>0.954317</v>
      </c>
      <c r="E30" s="22">
        <v>1</v>
      </c>
      <c r="F30" s="22">
        <v>0.027341</v>
      </c>
      <c r="G30" s="22">
        <v>0.052729</v>
      </c>
      <c r="H30" s="22">
        <v>1</v>
      </c>
      <c r="I30" s="22">
        <v>1</v>
      </c>
      <c r="J30" s="22">
        <v>1</v>
      </c>
      <c r="K30" s="22">
        <v>0.052729</v>
      </c>
      <c r="L30" s="22">
        <v>1</v>
      </c>
      <c r="M30" s="22">
        <v>0.221873</v>
      </c>
      <c r="N30" s="22">
        <v>0.362979</v>
      </c>
      <c r="O30" s="22">
        <v>1</v>
      </c>
      <c r="P30" s="22">
        <v>0.542905</v>
      </c>
      <c r="Q30" s="22">
        <v>0.691507</v>
      </c>
      <c r="R30" s="22">
        <v>0.824494</v>
      </c>
      <c r="S30" s="22">
        <v>0.659052</v>
      </c>
      <c r="T30" s="22">
        <v>0.977351</v>
      </c>
      <c r="U30" s="22">
        <v>0.952296</v>
      </c>
      <c r="V30" s="22">
        <v>0.943544</v>
      </c>
      <c r="W30" s="25">
        <v>0.898008</v>
      </c>
      <c r="X30" s="22" t="s">
        <v>0</v>
      </c>
      <c r="Y30" s="22">
        <v>410</v>
      </c>
      <c r="Z30" s="22">
        <v>0</v>
      </c>
      <c r="AA30" s="22">
        <v>0.144578</v>
      </c>
      <c r="AB30" s="22">
        <v>981.666667</v>
      </c>
      <c r="AC30" s="34" t="s">
        <v>0</v>
      </c>
      <c r="AD30" s="34" t="s">
        <v>0</v>
      </c>
      <c r="AE30" s="34" t="s">
        <v>0</v>
      </c>
      <c r="AF30" s="34" t="s">
        <v>0</v>
      </c>
      <c r="AG30" s="34" t="s">
        <v>0</v>
      </c>
      <c r="AH30" s="34" t="s">
        <v>0</v>
      </c>
      <c r="AI30" s="34" t="s">
        <v>0</v>
      </c>
      <c r="AJ30" s="34" t="s">
        <v>0</v>
      </c>
      <c r="AK30" s="34" t="s">
        <v>0</v>
      </c>
    </row>
    <row r="31" spans="1:37">
      <c r="A31" s="27"/>
      <c r="B31" s="27"/>
      <c r="C31" s="26" t="s">
        <v>63</v>
      </c>
      <c r="D31" s="22">
        <v>0.965529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0.667535</v>
      </c>
      <c r="S31" s="22">
        <v>0.440206</v>
      </c>
      <c r="T31" s="22">
        <v>0.916834</v>
      </c>
      <c r="U31" s="22">
        <v>0.886641</v>
      </c>
      <c r="V31" s="22">
        <v>0.885982</v>
      </c>
      <c r="W31" s="25">
        <v>0.843273</v>
      </c>
      <c r="X31" s="22" t="s">
        <v>0</v>
      </c>
      <c r="Y31" s="22" t="s">
        <v>0</v>
      </c>
      <c r="Z31" s="22">
        <v>0</v>
      </c>
      <c r="AA31" s="22">
        <v>0.072289</v>
      </c>
      <c r="AB31" s="22">
        <v>300</v>
      </c>
      <c r="AC31" s="34" t="s">
        <v>0</v>
      </c>
      <c r="AD31" s="34" t="s">
        <v>0</v>
      </c>
      <c r="AE31" s="34" t="s">
        <v>0</v>
      </c>
      <c r="AF31" s="34" t="s">
        <v>0</v>
      </c>
      <c r="AG31" s="34" t="s">
        <v>0</v>
      </c>
      <c r="AH31" s="34" t="s">
        <v>0</v>
      </c>
      <c r="AI31" s="34" t="s">
        <v>0</v>
      </c>
      <c r="AJ31" s="34" t="s">
        <v>0</v>
      </c>
      <c r="AK31" s="34" t="s">
        <v>0</v>
      </c>
    </row>
    <row r="32" spans="1:37">
      <c r="A32" s="27"/>
      <c r="B32" s="27"/>
      <c r="C32" s="26" t="s">
        <v>64</v>
      </c>
      <c r="D32" s="22">
        <v>0.995147</v>
      </c>
      <c r="E32" s="22">
        <v>0.625</v>
      </c>
      <c r="F32" s="22">
        <v>0.002981</v>
      </c>
      <c r="G32" s="22">
        <v>0.005931</v>
      </c>
      <c r="H32" s="22">
        <v>0.833333</v>
      </c>
      <c r="I32" s="22">
        <v>1</v>
      </c>
      <c r="J32" s="22">
        <v>0.9</v>
      </c>
      <c r="K32" s="22">
        <v>0.004954</v>
      </c>
      <c r="L32" s="22">
        <v>0.833333</v>
      </c>
      <c r="M32" s="22">
        <v>0.201988</v>
      </c>
      <c r="N32" s="22">
        <v>0.323187</v>
      </c>
      <c r="O32" s="22">
        <v>0.652888</v>
      </c>
      <c r="P32" s="22">
        <v>0.512551</v>
      </c>
      <c r="Q32" s="22">
        <v>0.441288</v>
      </c>
      <c r="R32" s="22">
        <v>0.6203</v>
      </c>
      <c r="S32" s="22">
        <v>0.334357</v>
      </c>
      <c r="T32" s="22">
        <v>0.946685</v>
      </c>
      <c r="U32" s="22">
        <v>0.906194</v>
      </c>
      <c r="V32" s="22">
        <v>0.899077</v>
      </c>
      <c r="W32" s="25">
        <v>0.841667</v>
      </c>
      <c r="X32" s="22">
        <v>432</v>
      </c>
      <c r="Y32" s="22">
        <v>137</v>
      </c>
      <c r="Z32" s="22">
        <v>0.5</v>
      </c>
      <c r="AA32" s="22">
        <v>0.144578</v>
      </c>
      <c r="AB32" s="22">
        <v>1072.5</v>
      </c>
      <c r="AC32" s="34" t="s">
        <v>0</v>
      </c>
      <c r="AD32" s="34" t="s">
        <v>0</v>
      </c>
      <c r="AE32" s="34" t="s">
        <v>0</v>
      </c>
      <c r="AF32" s="34" t="s">
        <v>0</v>
      </c>
      <c r="AG32" s="34" t="s">
        <v>0</v>
      </c>
      <c r="AH32" s="34" t="s">
        <v>0</v>
      </c>
      <c r="AI32" s="34" t="s">
        <v>0</v>
      </c>
      <c r="AJ32" s="34" t="s">
        <v>0</v>
      </c>
      <c r="AK32" s="34" t="s">
        <v>0</v>
      </c>
    </row>
    <row r="33" spans="1:37">
      <c r="A33" s="27"/>
      <c r="B33" s="22" t="s">
        <v>65</v>
      </c>
      <c r="C33" s="26" t="s">
        <v>66</v>
      </c>
      <c r="D33" s="22">
        <v>0.992805</v>
      </c>
      <c r="E33" s="22">
        <v>0.777778</v>
      </c>
      <c r="F33" s="22">
        <v>0.010418</v>
      </c>
      <c r="G33" s="22">
        <v>0.020413</v>
      </c>
      <c r="H33" s="22">
        <v>0.805556</v>
      </c>
      <c r="I33" s="22">
        <v>1</v>
      </c>
      <c r="J33" s="22">
        <v>0.87931</v>
      </c>
      <c r="K33" s="22">
        <v>0.003953</v>
      </c>
      <c r="L33" s="22">
        <v>0.805556</v>
      </c>
      <c r="M33" s="22">
        <v>0.200939</v>
      </c>
      <c r="N33" s="22">
        <v>0.318517</v>
      </c>
      <c r="O33" s="22">
        <v>0.853284</v>
      </c>
      <c r="P33" s="22">
        <v>0.932667</v>
      </c>
      <c r="Q33" s="22">
        <v>0.882388</v>
      </c>
      <c r="R33" s="22">
        <v>0.674871</v>
      </c>
      <c r="S33" s="22">
        <v>0.450718</v>
      </c>
      <c r="T33" s="22">
        <v>0.962352</v>
      </c>
      <c r="U33" s="22">
        <v>0.933745</v>
      </c>
      <c r="V33" s="22">
        <v>0.917616</v>
      </c>
      <c r="W33" s="25">
        <v>0.871155</v>
      </c>
      <c r="X33" s="22">
        <v>331</v>
      </c>
      <c r="Y33" s="22">
        <v>85</v>
      </c>
      <c r="Z33" s="22">
        <v>0.5</v>
      </c>
      <c r="AA33" s="22">
        <v>0.819277</v>
      </c>
      <c r="AB33" s="22">
        <v>178.968254</v>
      </c>
      <c r="AC33" s="34" t="s">
        <v>0</v>
      </c>
      <c r="AD33" s="34" t="s">
        <v>0</v>
      </c>
      <c r="AE33" s="34" t="s">
        <v>0</v>
      </c>
      <c r="AF33" s="34" t="s">
        <v>0</v>
      </c>
      <c r="AG33" s="34" t="s">
        <v>0</v>
      </c>
      <c r="AH33" s="34" t="s">
        <v>0</v>
      </c>
      <c r="AI33" s="34" t="s">
        <v>0</v>
      </c>
      <c r="AJ33" s="34" t="s">
        <v>0</v>
      </c>
      <c r="AK33" s="34" t="s">
        <v>0</v>
      </c>
    </row>
    <row r="34" spans="1:37">
      <c r="A34" s="27"/>
      <c r="B34" s="28"/>
      <c r="C34" s="26" t="s">
        <v>67</v>
      </c>
      <c r="D34" s="22">
        <v>0.993307</v>
      </c>
      <c r="E34" s="22">
        <v>0.569231</v>
      </c>
      <c r="F34" s="22">
        <v>0.004961</v>
      </c>
      <c r="G34" s="22">
        <v>0.00982</v>
      </c>
      <c r="H34" s="22">
        <v>0.619048</v>
      </c>
      <c r="I34" s="22">
        <v>1</v>
      </c>
      <c r="J34" s="22">
        <v>0.763636</v>
      </c>
      <c r="K34" s="22">
        <v>0.003959</v>
      </c>
      <c r="L34" s="22">
        <v>0.619048</v>
      </c>
      <c r="M34" s="22">
        <v>0.201291</v>
      </c>
      <c r="N34" s="22">
        <v>0.30346</v>
      </c>
      <c r="O34" s="22">
        <v>0.675432</v>
      </c>
      <c r="P34" s="22">
        <v>0.843486</v>
      </c>
      <c r="Q34" s="22">
        <v>0.750133</v>
      </c>
      <c r="R34" s="22">
        <v>0.668792</v>
      </c>
      <c r="S34" s="22">
        <v>0.419307</v>
      </c>
      <c r="T34" s="22">
        <v>0.960585</v>
      </c>
      <c r="U34" s="22">
        <v>0.927703</v>
      </c>
      <c r="V34" s="22">
        <v>0.91813</v>
      </c>
      <c r="W34" s="25">
        <v>0.864137</v>
      </c>
      <c r="X34" s="22" t="s">
        <v>0</v>
      </c>
      <c r="Y34" s="22">
        <v>355</v>
      </c>
      <c r="Z34" s="22">
        <v>0</v>
      </c>
      <c r="AA34" s="22">
        <v>0.674699</v>
      </c>
      <c r="AB34" s="22">
        <v>195.423077</v>
      </c>
      <c r="AC34" s="34" t="s">
        <v>0</v>
      </c>
      <c r="AD34" s="34" t="s">
        <v>0</v>
      </c>
      <c r="AE34" s="34" t="s">
        <v>0</v>
      </c>
      <c r="AF34" s="34" t="s">
        <v>0</v>
      </c>
      <c r="AG34" s="34" t="s">
        <v>0</v>
      </c>
      <c r="AH34" s="34" t="s">
        <v>0</v>
      </c>
      <c r="AI34" s="34" t="s">
        <v>0</v>
      </c>
      <c r="AJ34" s="34" t="s">
        <v>0</v>
      </c>
      <c r="AK34" s="34" t="s">
        <v>0</v>
      </c>
    </row>
    <row r="35" spans="1:37">
      <c r="A35" s="27"/>
      <c r="B35" s="22" t="s">
        <v>68</v>
      </c>
      <c r="C35" s="26" t="s">
        <v>69</v>
      </c>
      <c r="D35" s="22">
        <v>0.992972</v>
      </c>
      <c r="E35" s="22">
        <v>0.557895</v>
      </c>
      <c r="F35" s="22">
        <v>0.004963</v>
      </c>
      <c r="G35" s="22">
        <v>0.009797</v>
      </c>
      <c r="H35" s="22">
        <v>0.566667</v>
      </c>
      <c r="I35" s="22">
        <v>1</v>
      </c>
      <c r="J35" s="22">
        <v>0.694444</v>
      </c>
      <c r="K35" s="22">
        <v>0.001982</v>
      </c>
      <c r="L35" s="22">
        <v>0.566667</v>
      </c>
      <c r="M35" s="22">
        <v>0.200794</v>
      </c>
      <c r="N35" s="22">
        <v>0.285818</v>
      </c>
      <c r="O35" s="22">
        <v>0.688236</v>
      </c>
      <c r="P35" s="22">
        <v>0.835948</v>
      </c>
      <c r="Q35" s="22">
        <v>0.745818</v>
      </c>
      <c r="R35" s="22">
        <v>0.677898</v>
      </c>
      <c r="S35" s="22">
        <v>0.461308</v>
      </c>
      <c r="T35" s="22">
        <v>0.95936</v>
      </c>
      <c r="U35" s="22">
        <v>0.930928</v>
      </c>
      <c r="V35" s="22">
        <v>0.919914</v>
      </c>
      <c r="W35" s="25">
        <v>0.872686</v>
      </c>
      <c r="X35" s="22">
        <v>328</v>
      </c>
      <c r="Y35" s="22">
        <v>351</v>
      </c>
      <c r="Z35" s="22">
        <v>0.5</v>
      </c>
      <c r="AA35" s="22">
        <v>0.963855</v>
      </c>
      <c r="AB35" s="22">
        <v>141.921053</v>
      </c>
      <c r="AC35" s="34" t="s">
        <v>0</v>
      </c>
      <c r="AD35" s="34" t="s">
        <v>0</v>
      </c>
      <c r="AE35" s="34" t="s">
        <v>0</v>
      </c>
      <c r="AF35" s="34" t="s">
        <v>0</v>
      </c>
      <c r="AG35" s="34" t="s">
        <v>0</v>
      </c>
      <c r="AH35" s="34" t="s">
        <v>0</v>
      </c>
      <c r="AI35" s="34" t="s">
        <v>0</v>
      </c>
      <c r="AJ35" s="34" t="s">
        <v>0</v>
      </c>
      <c r="AK35" s="34" t="s">
        <v>0</v>
      </c>
    </row>
    <row r="36" spans="1:37">
      <c r="A36" s="27"/>
      <c r="B36" s="27"/>
      <c r="C36" s="26" t="s">
        <v>70</v>
      </c>
      <c r="D36" s="22">
        <v>0.989458</v>
      </c>
      <c r="E36" s="22">
        <v>0.85</v>
      </c>
      <c r="F36" s="22">
        <v>0.011401</v>
      </c>
      <c r="G36" s="22">
        <v>0.022198</v>
      </c>
      <c r="H36" s="22">
        <v>0.842105</v>
      </c>
      <c r="I36" s="22">
        <v>1</v>
      </c>
      <c r="J36" s="22">
        <v>0.90625</v>
      </c>
      <c r="K36" s="22">
        <v>0.004936</v>
      </c>
      <c r="L36" s="22">
        <v>0.842105</v>
      </c>
      <c r="M36" s="22">
        <v>0.201038</v>
      </c>
      <c r="N36" s="22">
        <v>0.322747</v>
      </c>
      <c r="O36" s="22">
        <v>0.896761</v>
      </c>
      <c r="P36" s="22">
        <v>0.864854</v>
      </c>
      <c r="Q36" s="22">
        <v>0.870786</v>
      </c>
      <c r="R36" s="22">
        <v>0.696834</v>
      </c>
      <c r="S36" s="22">
        <v>0.487289</v>
      </c>
      <c r="T36" s="22">
        <v>0.948919</v>
      </c>
      <c r="U36" s="22">
        <v>0.91334</v>
      </c>
      <c r="V36" s="22">
        <v>0.916968</v>
      </c>
      <c r="W36" s="25">
        <v>0.86655</v>
      </c>
      <c r="X36" s="22">
        <v>50</v>
      </c>
      <c r="Y36" s="22">
        <v>285.5</v>
      </c>
      <c r="Z36" s="22">
        <v>0</v>
      </c>
      <c r="AA36" s="22">
        <v>0.819277</v>
      </c>
      <c r="AB36" s="22">
        <v>176.022267</v>
      </c>
      <c r="AC36" s="34" t="s">
        <v>0</v>
      </c>
      <c r="AD36" s="34" t="s">
        <v>0</v>
      </c>
      <c r="AE36" s="34" t="s">
        <v>0</v>
      </c>
      <c r="AF36" s="34" t="s">
        <v>0</v>
      </c>
      <c r="AG36" s="34" t="s">
        <v>0</v>
      </c>
      <c r="AH36" s="34" t="s">
        <v>0</v>
      </c>
      <c r="AI36" s="34" t="s">
        <v>0</v>
      </c>
      <c r="AJ36" s="34" t="s">
        <v>0</v>
      </c>
      <c r="AK36" s="34" t="s">
        <v>0</v>
      </c>
    </row>
    <row r="37" spans="1:37">
      <c r="A37" s="27"/>
      <c r="B37" s="27"/>
      <c r="C37" s="26" t="s">
        <v>71</v>
      </c>
      <c r="D37" s="22">
        <v>0.994311</v>
      </c>
      <c r="E37" s="22">
        <v>0.576471</v>
      </c>
      <c r="F37" s="22">
        <v>0.004963</v>
      </c>
      <c r="G37" s="22">
        <v>0.009808</v>
      </c>
      <c r="H37" s="22">
        <v>0.567308</v>
      </c>
      <c r="I37" s="22">
        <v>1</v>
      </c>
      <c r="J37" s="22">
        <v>0.706349</v>
      </c>
      <c r="K37" s="22">
        <v>0.003957</v>
      </c>
      <c r="L37" s="22">
        <v>0.567308</v>
      </c>
      <c r="M37" s="22">
        <v>0.201006</v>
      </c>
      <c r="N37" s="22">
        <v>0.290546</v>
      </c>
      <c r="O37" s="22">
        <v>0.695495</v>
      </c>
      <c r="P37" s="22">
        <v>0.815036</v>
      </c>
      <c r="Q37" s="22">
        <v>0.743381</v>
      </c>
      <c r="R37" s="22">
        <v>0.659424</v>
      </c>
      <c r="S37" s="22">
        <v>0.427925</v>
      </c>
      <c r="T37" s="22">
        <v>0.953791</v>
      </c>
      <c r="U37" s="22">
        <v>0.9208</v>
      </c>
      <c r="V37" s="22">
        <v>0.911183</v>
      </c>
      <c r="W37" s="25">
        <v>0.860149</v>
      </c>
      <c r="X37" s="22">
        <v>195</v>
      </c>
      <c r="Y37" s="22">
        <v>350</v>
      </c>
      <c r="Z37" s="22">
        <v>0</v>
      </c>
      <c r="AA37" s="22">
        <v>0.722892</v>
      </c>
      <c r="AB37" s="22">
        <v>191.8125</v>
      </c>
      <c r="AC37" s="34" t="s">
        <v>0</v>
      </c>
      <c r="AD37" s="34" t="s">
        <v>0</v>
      </c>
      <c r="AE37" s="34" t="s">
        <v>0</v>
      </c>
      <c r="AF37" s="34" t="s">
        <v>0</v>
      </c>
      <c r="AG37" s="34" t="s">
        <v>0</v>
      </c>
      <c r="AH37" s="34" t="s">
        <v>0</v>
      </c>
      <c r="AI37" s="34" t="s">
        <v>0</v>
      </c>
      <c r="AJ37" s="34" t="s">
        <v>0</v>
      </c>
      <c r="AK37" s="34" t="s">
        <v>0</v>
      </c>
    </row>
    <row r="38" spans="1:37">
      <c r="A38" s="27"/>
      <c r="B38" s="28"/>
      <c r="C38" s="26" t="s">
        <v>72</v>
      </c>
      <c r="D38" s="22">
        <v>0.994143</v>
      </c>
      <c r="E38" s="22">
        <v>0.542857</v>
      </c>
      <c r="F38" s="22">
        <v>0.003972</v>
      </c>
      <c r="G38" s="22">
        <v>0.00787</v>
      </c>
      <c r="H38" s="22">
        <v>0.581818</v>
      </c>
      <c r="I38" s="22">
        <v>1</v>
      </c>
      <c r="J38" s="22">
        <v>0.711111</v>
      </c>
      <c r="K38" s="22">
        <v>0.001982</v>
      </c>
      <c r="L38" s="22">
        <v>0.581818</v>
      </c>
      <c r="M38" s="22">
        <v>0.200794</v>
      </c>
      <c r="N38" s="22">
        <v>0.289871</v>
      </c>
      <c r="O38" s="22">
        <v>0.669488</v>
      </c>
      <c r="P38" s="22">
        <v>0.825128</v>
      </c>
      <c r="Q38" s="22">
        <v>0.728233</v>
      </c>
      <c r="R38" s="22">
        <v>0.646973</v>
      </c>
      <c r="S38" s="22">
        <v>0.393585</v>
      </c>
      <c r="T38" s="22">
        <v>0.944952</v>
      </c>
      <c r="U38" s="22">
        <v>0.914947</v>
      </c>
      <c r="V38" s="22">
        <v>0.904513</v>
      </c>
      <c r="W38" s="25">
        <v>0.85147</v>
      </c>
      <c r="X38" s="22">
        <v>189</v>
      </c>
      <c r="Y38" s="22">
        <v>348</v>
      </c>
      <c r="Z38" s="22">
        <v>0</v>
      </c>
      <c r="AA38" s="22">
        <v>0.698795</v>
      </c>
      <c r="AB38" s="22">
        <v>165.833333</v>
      </c>
      <c r="AC38" s="34" t="s">
        <v>0</v>
      </c>
      <c r="AD38" s="34" t="s">
        <v>0</v>
      </c>
      <c r="AE38" s="34" t="s">
        <v>0</v>
      </c>
      <c r="AF38" s="34" t="s">
        <v>0</v>
      </c>
      <c r="AG38" s="34" t="s">
        <v>0</v>
      </c>
      <c r="AH38" s="34" t="s">
        <v>0</v>
      </c>
      <c r="AI38" s="34" t="s">
        <v>0</v>
      </c>
      <c r="AJ38" s="34" t="s">
        <v>0</v>
      </c>
      <c r="AK38" s="34" t="s">
        <v>0</v>
      </c>
    </row>
    <row r="39" spans="1:37">
      <c r="A39" s="28"/>
      <c r="B39" s="22" t="s">
        <v>73</v>
      </c>
      <c r="C39" s="22" t="s">
        <v>74</v>
      </c>
      <c r="D39" s="22">
        <v>0.987784</v>
      </c>
      <c r="E39" s="22">
        <v>0.573529</v>
      </c>
      <c r="F39" s="22">
        <v>0.008436</v>
      </c>
      <c r="G39" s="22">
        <v>0.016621</v>
      </c>
      <c r="H39" s="22">
        <v>0.583333</v>
      </c>
      <c r="I39" s="22">
        <v>1</v>
      </c>
      <c r="J39" s="22">
        <v>0.733333</v>
      </c>
      <c r="K39" s="22">
        <v>0.006908</v>
      </c>
      <c r="L39" s="22">
        <v>0.583333</v>
      </c>
      <c r="M39" s="22">
        <v>0.201921</v>
      </c>
      <c r="N39" s="22">
        <v>0.298776</v>
      </c>
      <c r="O39" s="22">
        <v>0.616972</v>
      </c>
      <c r="P39" s="22">
        <v>0.868192</v>
      </c>
      <c r="Q39" s="22">
        <v>0.719995</v>
      </c>
      <c r="R39" s="22">
        <v>0.736886</v>
      </c>
      <c r="S39" s="22">
        <v>0.567958</v>
      </c>
      <c r="T39" s="22">
        <v>0.967265</v>
      </c>
      <c r="U39" s="22">
        <v>0.940241</v>
      </c>
      <c r="V39" s="22">
        <v>0.921135</v>
      </c>
      <c r="W39" s="25">
        <v>0.876337</v>
      </c>
      <c r="X39" s="22">
        <v>372</v>
      </c>
      <c r="Y39" s="22">
        <v>247</v>
      </c>
      <c r="Z39" s="22">
        <v>0.5</v>
      </c>
      <c r="AA39" s="22">
        <v>0.746988</v>
      </c>
      <c r="AB39" s="22">
        <v>179.67619</v>
      </c>
      <c r="AC39" s="34" t="s">
        <v>0</v>
      </c>
      <c r="AD39" s="34" t="s">
        <v>0</v>
      </c>
      <c r="AE39" s="34" t="s">
        <v>0</v>
      </c>
      <c r="AF39" s="34" t="s">
        <v>0</v>
      </c>
      <c r="AG39" s="34" t="s">
        <v>0</v>
      </c>
      <c r="AH39" s="34" t="s">
        <v>0</v>
      </c>
      <c r="AI39" s="34" t="s">
        <v>0</v>
      </c>
      <c r="AJ39" s="34" t="s">
        <v>0</v>
      </c>
      <c r="AK39" s="34" t="s">
        <v>0</v>
      </c>
    </row>
    <row r="40" spans="1:37">
      <c r="A40" s="25" t="s">
        <v>0</v>
      </c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</row>
    <row r="41" spans="1:37">
      <c r="A41" s="22" t="s">
        <v>0</v>
      </c>
      <c r="B41" s="22" t="s">
        <v>0</v>
      </c>
      <c r="D41" s="24" t="s">
        <v>7</v>
      </c>
      <c r="E41" s="22" t="s">
        <v>8</v>
      </c>
      <c r="F41" s="22" t="s">
        <v>9</v>
      </c>
      <c r="G41" s="22" t="s">
        <v>10</v>
      </c>
      <c r="H41" s="22" t="s">
        <v>11</v>
      </c>
      <c r="I41" s="22" t="s">
        <v>12</v>
      </c>
      <c r="J41" s="22" t="s">
        <v>13</v>
      </c>
      <c r="K41" s="22" t="s">
        <v>14</v>
      </c>
      <c r="L41" s="22" t="s">
        <v>15</v>
      </c>
      <c r="M41" s="22" t="s">
        <v>16</v>
      </c>
      <c r="N41" s="22" t="s">
        <v>17</v>
      </c>
      <c r="O41" s="22" t="s">
        <v>18</v>
      </c>
      <c r="P41" s="22" t="s">
        <v>19</v>
      </c>
      <c r="Q41" s="22" t="s">
        <v>20</v>
      </c>
      <c r="R41" s="22" t="s">
        <v>21</v>
      </c>
      <c r="S41" s="22" t="s">
        <v>22</v>
      </c>
      <c r="T41" s="22" t="s">
        <v>23</v>
      </c>
      <c r="U41" s="22" t="s">
        <v>24</v>
      </c>
      <c r="V41" s="22" t="s">
        <v>25</v>
      </c>
      <c r="W41" s="25" t="s">
        <v>26</v>
      </c>
      <c r="X41" s="22" t="s">
        <v>27</v>
      </c>
      <c r="Y41" s="22" t="s">
        <v>28</v>
      </c>
      <c r="Z41" s="22" t="s">
        <v>29</v>
      </c>
      <c r="AA41" s="24" t="s">
        <v>30</v>
      </c>
      <c r="AB41" s="24" t="s">
        <v>31</v>
      </c>
      <c r="AC41" s="34" t="s">
        <v>0</v>
      </c>
      <c r="AD41" s="34" t="s">
        <v>0</v>
      </c>
      <c r="AE41" s="34" t="s">
        <v>0</v>
      </c>
      <c r="AF41" s="34" t="s">
        <v>0</v>
      </c>
      <c r="AG41" s="34" t="s">
        <v>0</v>
      </c>
      <c r="AH41" s="34" t="s">
        <v>0</v>
      </c>
      <c r="AI41" s="34" t="s">
        <v>0</v>
      </c>
      <c r="AJ41" s="34" t="s">
        <v>0</v>
      </c>
      <c r="AK41" s="34" t="s">
        <v>0</v>
      </c>
    </row>
    <row r="42" spans="1:37">
      <c r="A42" s="22" t="s">
        <v>98</v>
      </c>
      <c r="B42" s="22" t="s">
        <v>33</v>
      </c>
      <c r="C42" s="22" t="s">
        <v>34</v>
      </c>
      <c r="D42" s="22">
        <v>1</v>
      </c>
      <c r="E42" s="22">
        <v>0.5</v>
      </c>
      <c r="F42" s="22">
        <v>0.000289</v>
      </c>
      <c r="G42" s="22">
        <v>0.000578</v>
      </c>
      <c r="H42" s="22">
        <v>0.5</v>
      </c>
      <c r="I42" s="22">
        <v>0.5</v>
      </c>
      <c r="J42" s="22">
        <v>0.5</v>
      </c>
      <c r="K42" s="22">
        <v>0.000231</v>
      </c>
      <c r="L42" s="22">
        <v>0.5</v>
      </c>
      <c r="M42" s="22">
        <v>0.100058</v>
      </c>
      <c r="N42" s="22">
        <v>0.166747</v>
      </c>
      <c r="O42" s="22">
        <v>0.561314</v>
      </c>
      <c r="P42" s="22">
        <v>0.491106</v>
      </c>
      <c r="Q42" s="22">
        <v>0.498072</v>
      </c>
      <c r="R42" s="22">
        <v>0.777885</v>
      </c>
      <c r="S42" s="22">
        <v>0.306915</v>
      </c>
      <c r="T42" s="22">
        <v>0.986803</v>
      </c>
      <c r="U42" s="22">
        <v>0.951146</v>
      </c>
      <c r="V42" s="22">
        <v>0.963164</v>
      </c>
      <c r="W42" s="25">
        <v>0.886614</v>
      </c>
      <c r="X42" s="22" t="s">
        <v>0</v>
      </c>
      <c r="Y42" s="22">
        <v>4524</v>
      </c>
      <c r="Z42" s="22">
        <v>0</v>
      </c>
      <c r="AA42" s="22">
        <v>0</v>
      </c>
      <c r="AB42" s="22" t="s">
        <v>0</v>
      </c>
      <c r="AC42" s="34" t="s">
        <v>0</v>
      </c>
      <c r="AD42" s="34" t="s">
        <v>0</v>
      </c>
      <c r="AE42" s="34" t="s">
        <v>0</v>
      </c>
      <c r="AF42" s="34" t="s">
        <v>0</v>
      </c>
      <c r="AG42" s="34" t="s">
        <v>0</v>
      </c>
      <c r="AH42" s="34" t="s">
        <v>0</v>
      </c>
      <c r="AI42" s="34" t="s">
        <v>0</v>
      </c>
      <c r="AJ42" s="34" t="s">
        <v>0</v>
      </c>
      <c r="AK42" s="34" t="s">
        <v>0</v>
      </c>
    </row>
    <row r="43" spans="1:37">
      <c r="A43" s="27"/>
      <c r="B43" s="27"/>
      <c r="C43" s="22" t="s">
        <v>35</v>
      </c>
      <c r="D43" s="22">
        <v>0.998939</v>
      </c>
      <c r="E43" s="22">
        <v>0.984375</v>
      </c>
      <c r="F43" s="22">
        <v>0.002583</v>
      </c>
      <c r="G43" s="22">
        <v>0.00515</v>
      </c>
      <c r="H43" s="22">
        <v>0.981481</v>
      </c>
      <c r="I43" s="22">
        <v>1</v>
      </c>
      <c r="J43" s="22">
        <v>0.990566</v>
      </c>
      <c r="K43" s="22">
        <v>0.000894</v>
      </c>
      <c r="L43" s="22">
        <v>0.981481</v>
      </c>
      <c r="M43" s="22">
        <v>0.200181</v>
      </c>
      <c r="N43" s="22">
        <v>0.332523</v>
      </c>
      <c r="O43" s="22">
        <v>0.984708</v>
      </c>
      <c r="P43" s="22">
        <v>0.858945</v>
      </c>
      <c r="Q43" s="22">
        <v>0.914225</v>
      </c>
      <c r="R43" s="22">
        <v>0.853191</v>
      </c>
      <c r="S43" s="22">
        <v>0.492125</v>
      </c>
      <c r="T43" s="22">
        <v>0.99003</v>
      </c>
      <c r="U43" s="22">
        <v>0.959415</v>
      </c>
      <c r="V43" s="22">
        <v>0.971837</v>
      </c>
      <c r="W43" s="25">
        <v>0.909281</v>
      </c>
      <c r="X43" s="22">
        <v>236</v>
      </c>
      <c r="Y43" s="22">
        <v>816.5</v>
      </c>
      <c r="Z43" s="22">
        <v>0</v>
      </c>
      <c r="AA43" s="22">
        <v>0.152714</v>
      </c>
      <c r="AB43" s="22">
        <v>944.25</v>
      </c>
      <c r="AC43" s="34" t="s">
        <v>0</v>
      </c>
      <c r="AD43" s="34" t="s">
        <v>0</v>
      </c>
      <c r="AE43" s="34" t="s">
        <v>0</v>
      </c>
      <c r="AF43" s="34" t="s">
        <v>0</v>
      </c>
      <c r="AG43" s="34" t="s">
        <v>0</v>
      </c>
      <c r="AH43" s="34" t="s">
        <v>0</v>
      </c>
      <c r="AI43" s="34" t="s">
        <v>0</v>
      </c>
      <c r="AJ43" s="34" t="s">
        <v>0</v>
      </c>
      <c r="AK43" s="34" t="s">
        <v>0</v>
      </c>
    </row>
    <row r="44" spans="1:37">
      <c r="A44" s="27"/>
      <c r="B44" s="28"/>
      <c r="C44" s="22" t="s">
        <v>36</v>
      </c>
      <c r="D44" s="22">
        <v>0.984417</v>
      </c>
      <c r="E44" s="22">
        <v>0.782407</v>
      </c>
      <c r="F44" s="22">
        <v>0.019752</v>
      </c>
      <c r="G44" s="22">
        <v>0.038442</v>
      </c>
      <c r="H44" s="22">
        <v>0.786339</v>
      </c>
      <c r="I44" s="22">
        <v>1</v>
      </c>
      <c r="J44" s="22">
        <v>0.868075</v>
      </c>
      <c r="K44" s="22">
        <v>0.001786</v>
      </c>
      <c r="L44" s="22">
        <v>0.786339</v>
      </c>
      <c r="M44" s="22">
        <v>0.2002</v>
      </c>
      <c r="N44" s="22">
        <v>0.316132</v>
      </c>
      <c r="O44" s="22">
        <v>0.803791</v>
      </c>
      <c r="P44" s="22">
        <v>0.973513</v>
      </c>
      <c r="Q44" s="22">
        <v>0.871172</v>
      </c>
      <c r="R44" s="22">
        <v>0.867314</v>
      </c>
      <c r="S44" s="22">
        <v>0.558773</v>
      </c>
      <c r="T44" s="22">
        <v>0.991392</v>
      </c>
      <c r="U44" s="22">
        <v>0.965668</v>
      </c>
      <c r="V44" s="22">
        <v>0.975739</v>
      </c>
      <c r="W44" s="25">
        <v>0.923344</v>
      </c>
      <c r="X44" s="22">
        <v>259</v>
      </c>
      <c r="Y44" s="22">
        <v>51.5</v>
      </c>
      <c r="Z44" s="22">
        <v>0</v>
      </c>
      <c r="AA44" s="22">
        <v>1.71027</v>
      </c>
      <c r="AB44" s="22">
        <v>67.142857</v>
      </c>
      <c r="AC44" s="34" t="s">
        <v>0</v>
      </c>
      <c r="AD44" s="34" t="s">
        <v>0</v>
      </c>
      <c r="AE44" s="34" t="s">
        <v>0</v>
      </c>
      <c r="AF44" s="34" t="s">
        <v>0</v>
      </c>
      <c r="AG44" s="34" t="s">
        <v>0</v>
      </c>
      <c r="AH44" s="34" t="s">
        <v>0</v>
      </c>
      <c r="AI44" s="34" t="s">
        <v>0</v>
      </c>
      <c r="AJ44" s="34" t="s">
        <v>0</v>
      </c>
      <c r="AK44" s="34" t="s">
        <v>0</v>
      </c>
    </row>
    <row r="45" spans="1:37">
      <c r="A45" s="27"/>
      <c r="B45" s="22" t="s">
        <v>37</v>
      </c>
      <c r="C45" s="22" t="s">
        <v>38</v>
      </c>
      <c r="D45" s="22">
        <v>1</v>
      </c>
      <c r="E45" s="22">
        <v>0.5</v>
      </c>
      <c r="F45" s="22">
        <v>0.000347</v>
      </c>
      <c r="G45" s="22">
        <v>0.000694</v>
      </c>
      <c r="H45" s="22">
        <v>0.5</v>
      </c>
      <c r="I45" s="22">
        <v>0.5</v>
      </c>
      <c r="J45" s="22">
        <v>0.5</v>
      </c>
      <c r="K45" s="22">
        <v>0.000463</v>
      </c>
      <c r="L45" s="22">
        <v>0.5</v>
      </c>
      <c r="M45" s="22">
        <v>0.100093</v>
      </c>
      <c r="N45" s="22">
        <v>0.166795</v>
      </c>
      <c r="O45" s="22">
        <v>0.539983</v>
      </c>
      <c r="P45" s="22">
        <v>0.43157</v>
      </c>
      <c r="Q45" s="22">
        <v>0.451487</v>
      </c>
      <c r="R45" s="22">
        <v>0.796438</v>
      </c>
      <c r="S45" s="22">
        <v>0.338245</v>
      </c>
      <c r="T45" s="22">
        <v>0.987741</v>
      </c>
      <c r="U45" s="22">
        <v>0.951019</v>
      </c>
      <c r="V45" s="22">
        <v>0.965346</v>
      </c>
      <c r="W45" s="25">
        <v>0.886831</v>
      </c>
      <c r="X45" s="22" t="s">
        <v>0</v>
      </c>
      <c r="Y45" s="22">
        <v>4737</v>
      </c>
      <c r="Z45" s="22">
        <v>0</v>
      </c>
      <c r="AA45" s="22">
        <v>0</v>
      </c>
      <c r="AB45" s="22" t="s">
        <v>0</v>
      </c>
      <c r="AC45" s="34" t="s">
        <v>0</v>
      </c>
      <c r="AD45" s="34" t="s">
        <v>0</v>
      </c>
      <c r="AE45" s="34" t="s">
        <v>0</v>
      </c>
      <c r="AF45" s="34" t="s">
        <v>0</v>
      </c>
      <c r="AG45" s="34" t="s">
        <v>0</v>
      </c>
      <c r="AH45" s="34" t="s">
        <v>0</v>
      </c>
      <c r="AI45" s="34" t="s">
        <v>0</v>
      </c>
      <c r="AJ45" s="34" t="s">
        <v>0</v>
      </c>
      <c r="AK45" s="34" t="s">
        <v>0</v>
      </c>
    </row>
    <row r="46" spans="1:37">
      <c r="A46" s="27"/>
      <c r="B46" s="27"/>
      <c r="C46" s="22" t="s">
        <v>39</v>
      </c>
      <c r="D46" s="22">
        <v>1</v>
      </c>
      <c r="E46" s="22">
        <v>0.5</v>
      </c>
      <c r="F46" s="22">
        <v>0.000637</v>
      </c>
      <c r="G46" s="22">
        <v>0.001271</v>
      </c>
      <c r="H46" s="22">
        <v>0.5</v>
      </c>
      <c r="I46" s="22">
        <v>0.5</v>
      </c>
      <c r="J46" s="22">
        <v>0.5</v>
      </c>
      <c r="K46" s="22">
        <v>0.000694</v>
      </c>
      <c r="L46" s="22">
        <v>0.5</v>
      </c>
      <c r="M46" s="22">
        <v>0.100085</v>
      </c>
      <c r="N46" s="22">
        <v>0.166785</v>
      </c>
      <c r="O46" s="22">
        <v>0.548611</v>
      </c>
      <c r="P46" s="22">
        <v>0.513418</v>
      </c>
      <c r="Q46" s="22">
        <v>0.500161</v>
      </c>
      <c r="R46" s="22">
        <v>0.796438</v>
      </c>
      <c r="S46" s="22">
        <v>0.367477</v>
      </c>
      <c r="T46" s="22">
        <v>0.985737</v>
      </c>
      <c r="U46" s="22">
        <v>0.9503</v>
      </c>
      <c r="V46" s="22">
        <v>0.961544</v>
      </c>
      <c r="W46" s="25">
        <v>0.886854</v>
      </c>
      <c r="X46" s="22" t="s">
        <v>0</v>
      </c>
      <c r="Y46" s="22">
        <v>4576</v>
      </c>
      <c r="Z46" s="22">
        <v>0</v>
      </c>
      <c r="AA46" s="22">
        <v>0</v>
      </c>
      <c r="AB46" s="22" t="s">
        <v>0</v>
      </c>
      <c r="AC46" s="34" t="s">
        <v>0</v>
      </c>
      <c r="AD46" s="34" t="s">
        <v>0</v>
      </c>
      <c r="AE46" s="34" t="s">
        <v>0</v>
      </c>
      <c r="AF46" s="34" t="s">
        <v>0</v>
      </c>
      <c r="AG46" s="34" t="s">
        <v>0</v>
      </c>
      <c r="AH46" s="34" t="s">
        <v>0</v>
      </c>
      <c r="AI46" s="34" t="s">
        <v>0</v>
      </c>
      <c r="AJ46" s="34" t="s">
        <v>0</v>
      </c>
      <c r="AK46" s="34" t="s">
        <v>0</v>
      </c>
    </row>
    <row r="47" spans="1:37">
      <c r="A47" s="27"/>
      <c r="B47" s="27"/>
      <c r="C47" s="22" t="s">
        <v>40</v>
      </c>
      <c r="D47" s="22">
        <v>1</v>
      </c>
      <c r="E47" s="22">
        <v>0.5</v>
      </c>
      <c r="F47" s="22">
        <v>0.01354</v>
      </c>
      <c r="G47" s="22">
        <v>0.026366</v>
      </c>
      <c r="H47" s="22">
        <v>0.5</v>
      </c>
      <c r="I47" s="22">
        <v>0.5</v>
      </c>
      <c r="J47" s="22">
        <v>0.5</v>
      </c>
      <c r="K47" s="22">
        <v>0.006096</v>
      </c>
      <c r="L47" s="22">
        <v>0.5</v>
      </c>
      <c r="M47" s="22">
        <v>0.101354</v>
      </c>
      <c r="N47" s="22">
        <v>0.168543</v>
      </c>
      <c r="O47" s="22">
        <v>0.561183</v>
      </c>
      <c r="P47" s="22">
        <v>0.554676</v>
      </c>
      <c r="Q47" s="22">
        <v>0.538505</v>
      </c>
      <c r="R47" s="22">
        <v>0.829457</v>
      </c>
      <c r="S47" s="22">
        <v>0.479596</v>
      </c>
      <c r="T47" s="22">
        <v>0.988368</v>
      </c>
      <c r="U47" s="22">
        <v>0.957655</v>
      </c>
      <c r="V47" s="22">
        <v>0.96781</v>
      </c>
      <c r="W47" s="25">
        <v>0.90536</v>
      </c>
      <c r="X47" s="22" t="s">
        <v>0</v>
      </c>
      <c r="Y47" s="22">
        <v>3765</v>
      </c>
      <c r="Z47" s="22">
        <v>0</v>
      </c>
      <c r="AA47" s="22">
        <v>0</v>
      </c>
      <c r="AB47" s="22" t="s">
        <v>0</v>
      </c>
      <c r="AC47" s="34" t="s">
        <v>0</v>
      </c>
      <c r="AD47" s="34" t="s">
        <v>0</v>
      </c>
      <c r="AE47" s="34" t="s">
        <v>0</v>
      </c>
      <c r="AF47" s="34" t="s">
        <v>0</v>
      </c>
      <c r="AG47" s="34" t="s">
        <v>0</v>
      </c>
      <c r="AH47" s="34" t="s">
        <v>0</v>
      </c>
      <c r="AI47" s="34" t="s">
        <v>0</v>
      </c>
      <c r="AJ47" s="34" t="s">
        <v>0</v>
      </c>
      <c r="AK47" s="34" t="s">
        <v>0</v>
      </c>
    </row>
    <row r="48" spans="1:37">
      <c r="A48" s="27"/>
      <c r="B48" s="27"/>
      <c r="C48" s="22" t="s">
        <v>41</v>
      </c>
      <c r="D48" s="22">
        <v>0.992847</v>
      </c>
      <c r="E48" s="22">
        <v>0.739865</v>
      </c>
      <c r="F48" s="22">
        <v>0.010599</v>
      </c>
      <c r="G48" s="22">
        <v>0.020877</v>
      </c>
      <c r="H48" s="22">
        <v>0.750769</v>
      </c>
      <c r="I48" s="22">
        <v>1</v>
      </c>
      <c r="J48" s="22">
        <v>0.837755</v>
      </c>
      <c r="K48" s="22">
        <v>0.002248</v>
      </c>
      <c r="L48" s="22">
        <v>0.750769</v>
      </c>
      <c r="M48" s="22">
        <v>0.200216</v>
      </c>
      <c r="N48" s="22">
        <v>0.310923</v>
      </c>
      <c r="O48" s="22">
        <v>0.758372</v>
      </c>
      <c r="P48" s="22">
        <v>0.939034</v>
      </c>
      <c r="Q48" s="22">
        <v>0.825982</v>
      </c>
      <c r="R48" s="22">
        <v>0.838298</v>
      </c>
      <c r="S48" s="22">
        <v>0.531247</v>
      </c>
      <c r="T48" s="22">
        <v>0.98973</v>
      </c>
      <c r="U48" s="22">
        <v>0.964147</v>
      </c>
      <c r="V48" s="22">
        <v>0.97131</v>
      </c>
      <c r="W48" s="25">
        <v>0.920527</v>
      </c>
      <c r="X48" s="22" t="s">
        <v>0</v>
      </c>
      <c r="Y48" s="22">
        <v>142.5</v>
      </c>
      <c r="Z48" s="22">
        <v>0</v>
      </c>
      <c r="AA48" s="22">
        <v>0.873919</v>
      </c>
      <c r="AB48" s="22">
        <v>134.638528</v>
      </c>
      <c r="AC48" s="34" t="s">
        <v>0</v>
      </c>
      <c r="AD48" s="34" t="s">
        <v>0</v>
      </c>
      <c r="AE48" s="34" t="s">
        <v>0</v>
      </c>
      <c r="AF48" s="34" t="s">
        <v>0</v>
      </c>
      <c r="AG48" s="34" t="s">
        <v>0</v>
      </c>
      <c r="AH48" s="34" t="s">
        <v>0</v>
      </c>
      <c r="AI48" s="34" t="s">
        <v>0</v>
      </c>
      <c r="AJ48" s="34" t="s">
        <v>0</v>
      </c>
      <c r="AK48" s="34" t="s">
        <v>0</v>
      </c>
    </row>
    <row r="49" spans="1:37">
      <c r="A49" s="27"/>
      <c r="B49" s="27"/>
      <c r="C49" s="22" t="s">
        <v>42</v>
      </c>
      <c r="D49" s="22">
        <v>0.993283</v>
      </c>
      <c r="E49" s="22">
        <v>0.898687</v>
      </c>
      <c r="F49" s="22">
        <v>0.00972</v>
      </c>
      <c r="G49" s="22">
        <v>0.019229</v>
      </c>
      <c r="H49" s="22">
        <v>0.908817</v>
      </c>
      <c r="I49" s="22">
        <v>1</v>
      </c>
      <c r="J49" s="22">
        <v>0.951819</v>
      </c>
      <c r="K49" s="22">
        <v>0.001293</v>
      </c>
      <c r="L49" s="22">
        <v>0.908817</v>
      </c>
      <c r="M49" s="22">
        <v>0.200205</v>
      </c>
      <c r="N49" s="22">
        <v>0.32804</v>
      </c>
      <c r="O49" s="22">
        <v>0.899683</v>
      </c>
      <c r="P49" s="22">
        <v>0.945757</v>
      </c>
      <c r="Q49" s="22">
        <v>0.921881</v>
      </c>
      <c r="R49" s="22">
        <v>0.87267</v>
      </c>
      <c r="S49" s="22">
        <v>0.516627</v>
      </c>
      <c r="T49" s="22">
        <v>0.99145</v>
      </c>
      <c r="U49" s="22">
        <v>0.960603</v>
      </c>
      <c r="V49" s="22">
        <v>0.975916</v>
      </c>
      <c r="W49" s="25">
        <v>0.912209</v>
      </c>
      <c r="X49" s="22">
        <v>187</v>
      </c>
      <c r="Y49" s="22">
        <v>169</v>
      </c>
      <c r="Z49" s="22">
        <v>0</v>
      </c>
      <c r="AA49" s="22">
        <v>0.942591</v>
      </c>
      <c r="AB49" s="22">
        <v>118.571895</v>
      </c>
      <c r="AC49" s="34" t="s">
        <v>0</v>
      </c>
      <c r="AD49" s="34" t="s">
        <v>0</v>
      </c>
      <c r="AE49" s="34" t="s">
        <v>0</v>
      </c>
      <c r="AF49" s="34" t="s">
        <v>0</v>
      </c>
      <c r="AG49" s="34" t="s">
        <v>0</v>
      </c>
      <c r="AH49" s="34" t="s">
        <v>0</v>
      </c>
      <c r="AI49" s="34" t="s">
        <v>0</v>
      </c>
      <c r="AJ49" s="34" t="s">
        <v>0</v>
      </c>
      <c r="AK49" s="34" t="s">
        <v>0</v>
      </c>
    </row>
    <row r="50" spans="1:37">
      <c r="A50" s="27"/>
      <c r="B50" s="27"/>
      <c r="C50" s="22" t="s">
        <v>43</v>
      </c>
      <c r="D50" s="22">
        <v>1</v>
      </c>
      <c r="E50" s="22">
        <v>0.5</v>
      </c>
      <c r="F50" s="22">
        <v>0.000521</v>
      </c>
      <c r="G50" s="22">
        <v>0.00104</v>
      </c>
      <c r="H50" s="22">
        <v>0.5</v>
      </c>
      <c r="I50" s="22">
        <v>0.5</v>
      </c>
      <c r="J50" s="22">
        <v>0.5</v>
      </c>
      <c r="K50" s="22">
        <v>0.000925</v>
      </c>
      <c r="L50" s="22">
        <v>0.5</v>
      </c>
      <c r="M50" s="22">
        <v>0.100208</v>
      </c>
      <c r="N50" s="22">
        <v>0.166956</v>
      </c>
      <c r="O50" s="22">
        <v>0.558052</v>
      </c>
      <c r="P50" s="22">
        <v>0.474415</v>
      </c>
      <c r="Q50" s="22">
        <v>0.469917</v>
      </c>
      <c r="R50" s="22">
        <v>0.80673</v>
      </c>
      <c r="S50" s="22">
        <v>0.363253</v>
      </c>
      <c r="T50" s="22">
        <v>0.987436</v>
      </c>
      <c r="U50" s="22">
        <v>0.949959</v>
      </c>
      <c r="V50" s="22">
        <v>0.965024</v>
      </c>
      <c r="W50" s="25">
        <v>0.885522</v>
      </c>
      <c r="X50" s="22" t="s">
        <v>0</v>
      </c>
      <c r="Y50" s="22">
        <v>4991</v>
      </c>
      <c r="Z50" s="22">
        <v>0</v>
      </c>
      <c r="AA50" s="22">
        <v>0</v>
      </c>
      <c r="AB50" s="22" t="s">
        <v>0</v>
      </c>
      <c r="AC50" s="34" t="s">
        <v>0</v>
      </c>
      <c r="AD50" s="34" t="s">
        <v>0</v>
      </c>
      <c r="AE50" s="34" t="s">
        <v>0</v>
      </c>
      <c r="AF50" s="34" t="s">
        <v>0</v>
      </c>
      <c r="AG50" s="34" t="s">
        <v>0</v>
      </c>
      <c r="AH50" s="34" t="s">
        <v>0</v>
      </c>
      <c r="AI50" s="34" t="s">
        <v>0</v>
      </c>
      <c r="AJ50" s="34" t="s">
        <v>0</v>
      </c>
      <c r="AK50" s="34" t="s">
        <v>0</v>
      </c>
    </row>
    <row r="51" spans="1:37">
      <c r="A51" s="27"/>
      <c r="B51" s="27"/>
      <c r="C51" s="22" t="s">
        <v>44</v>
      </c>
      <c r="D51" s="22">
        <v>0.991929</v>
      </c>
      <c r="E51" s="22">
        <v>0.826313</v>
      </c>
      <c r="F51" s="22">
        <v>0.011262</v>
      </c>
      <c r="G51" s="22">
        <v>0.022218</v>
      </c>
      <c r="H51" s="22">
        <v>0.83555</v>
      </c>
      <c r="I51" s="22">
        <v>1</v>
      </c>
      <c r="J51" s="22">
        <v>0.904944</v>
      </c>
      <c r="K51" s="22">
        <v>0.001292</v>
      </c>
      <c r="L51" s="22">
        <v>0.83555</v>
      </c>
      <c r="M51" s="22">
        <v>0.200192</v>
      </c>
      <c r="N51" s="22">
        <v>0.321757</v>
      </c>
      <c r="O51" s="22">
        <v>0.832604</v>
      </c>
      <c r="P51" s="22">
        <v>0.968467</v>
      </c>
      <c r="Q51" s="22">
        <v>0.891174</v>
      </c>
      <c r="R51" s="22">
        <v>0.854261</v>
      </c>
      <c r="S51" s="22">
        <v>0.509025</v>
      </c>
      <c r="T51" s="22">
        <v>0.990417</v>
      </c>
      <c r="U51" s="22">
        <v>0.963177</v>
      </c>
      <c r="V51" s="22">
        <v>0.973384</v>
      </c>
      <c r="W51" s="25">
        <v>0.917439</v>
      </c>
      <c r="X51" s="22">
        <v>236</v>
      </c>
      <c r="Y51" s="22">
        <v>278.5</v>
      </c>
      <c r="Z51" s="22">
        <v>0</v>
      </c>
      <c r="AA51" s="22">
        <v>1.088475</v>
      </c>
      <c r="AB51" s="22">
        <v>133.063725</v>
      </c>
      <c r="AC51" s="34" t="s">
        <v>0</v>
      </c>
      <c r="AD51" s="34" t="s">
        <v>0</v>
      </c>
      <c r="AE51" s="34" t="s">
        <v>0</v>
      </c>
      <c r="AF51" s="34" t="s">
        <v>0</v>
      </c>
      <c r="AG51" s="34" t="s">
        <v>0</v>
      </c>
      <c r="AH51" s="34" t="s">
        <v>0</v>
      </c>
      <c r="AI51" s="34" t="s">
        <v>0</v>
      </c>
      <c r="AJ51" s="34" t="s">
        <v>0</v>
      </c>
      <c r="AK51" s="34" t="s">
        <v>0</v>
      </c>
    </row>
    <row r="52" spans="1:37">
      <c r="A52" s="27"/>
      <c r="B52" s="28"/>
      <c r="C52" s="22" t="s">
        <v>45</v>
      </c>
      <c r="D52" s="22">
        <v>1</v>
      </c>
      <c r="E52" s="22">
        <v>0.5</v>
      </c>
      <c r="F52" s="22">
        <v>0.001042</v>
      </c>
      <c r="G52" s="22">
        <v>0.002079</v>
      </c>
      <c r="H52" s="22">
        <v>0.5</v>
      </c>
      <c r="I52" s="22">
        <v>0.5</v>
      </c>
      <c r="J52" s="22">
        <v>0.5</v>
      </c>
      <c r="K52" s="22">
        <v>0.00104</v>
      </c>
      <c r="L52" s="22">
        <v>0.5</v>
      </c>
      <c r="M52" s="22">
        <v>0.100208</v>
      </c>
      <c r="N52" s="22">
        <v>0.166956</v>
      </c>
      <c r="O52" s="22">
        <v>0.560514</v>
      </c>
      <c r="P52" s="22">
        <v>0.517678</v>
      </c>
      <c r="Q52" s="22">
        <v>0.503688</v>
      </c>
      <c r="R52" s="22">
        <v>0.861634</v>
      </c>
      <c r="S52" s="22">
        <v>0.500007</v>
      </c>
      <c r="T52" s="22">
        <v>0.99177</v>
      </c>
      <c r="U52" s="22">
        <v>0.967759</v>
      </c>
      <c r="V52" s="22">
        <v>0.976956</v>
      </c>
      <c r="W52" s="25">
        <v>0.925791</v>
      </c>
      <c r="X52" s="22" t="s">
        <v>0</v>
      </c>
      <c r="Y52" s="22">
        <v>4991</v>
      </c>
      <c r="Z52" s="22">
        <v>0</v>
      </c>
      <c r="AA52" s="22">
        <v>0</v>
      </c>
      <c r="AB52" s="22" t="s">
        <v>0</v>
      </c>
      <c r="AC52" s="34" t="s">
        <v>0</v>
      </c>
      <c r="AD52" s="34" t="s">
        <v>0</v>
      </c>
      <c r="AE52" s="34" t="s">
        <v>0</v>
      </c>
      <c r="AF52" s="34" t="s">
        <v>0</v>
      </c>
      <c r="AG52" s="34" t="s">
        <v>0</v>
      </c>
      <c r="AH52" s="34" t="s">
        <v>0</v>
      </c>
      <c r="AI52" s="34" t="s">
        <v>0</v>
      </c>
      <c r="AJ52" s="34" t="s">
        <v>0</v>
      </c>
      <c r="AK52" s="34" t="s">
        <v>0</v>
      </c>
    </row>
    <row r="53" spans="1:37">
      <c r="A53" s="27"/>
      <c r="B53" s="30" t="s">
        <v>46</v>
      </c>
      <c r="C53" s="22" t="s">
        <v>47</v>
      </c>
      <c r="D53" s="22">
        <v>0.99432</v>
      </c>
      <c r="E53" s="22">
        <v>0.842857</v>
      </c>
      <c r="F53" s="22">
        <v>0.006743</v>
      </c>
      <c r="G53" s="22">
        <v>0.013379</v>
      </c>
      <c r="H53" s="22">
        <v>0.841176</v>
      </c>
      <c r="I53" s="22">
        <v>1</v>
      </c>
      <c r="J53" s="22">
        <v>0.913194</v>
      </c>
      <c r="K53" s="22">
        <v>0.000547</v>
      </c>
      <c r="L53" s="22">
        <v>0.841176</v>
      </c>
      <c r="M53" s="22">
        <v>0.200174</v>
      </c>
      <c r="N53" s="22">
        <v>0.323269</v>
      </c>
      <c r="O53" s="22">
        <v>0.849937</v>
      </c>
      <c r="P53" s="22">
        <v>0.966997</v>
      </c>
      <c r="Q53" s="22">
        <v>0.904469</v>
      </c>
      <c r="R53" s="22">
        <v>0.86046</v>
      </c>
      <c r="S53" s="22">
        <v>0.540765</v>
      </c>
      <c r="T53" s="22">
        <v>0.991432</v>
      </c>
      <c r="U53" s="22">
        <v>0.96585</v>
      </c>
      <c r="V53" s="22">
        <v>0.975603</v>
      </c>
      <c r="W53" s="25">
        <v>0.923039</v>
      </c>
      <c r="X53" s="22">
        <v>426</v>
      </c>
      <c r="Y53" s="22">
        <v>78.5</v>
      </c>
      <c r="Z53" s="22">
        <v>0.5</v>
      </c>
      <c r="AA53" s="22">
        <v>0.714374</v>
      </c>
      <c r="AB53" s="22">
        <v>202.107143</v>
      </c>
      <c r="AC53" s="34" t="s">
        <v>0</v>
      </c>
      <c r="AD53" s="34" t="s">
        <v>0</v>
      </c>
      <c r="AE53" s="34" t="s">
        <v>0</v>
      </c>
      <c r="AF53" s="34" t="s">
        <v>0</v>
      </c>
      <c r="AG53" s="34" t="s">
        <v>0</v>
      </c>
      <c r="AH53" s="34" t="s">
        <v>0</v>
      </c>
      <c r="AI53" s="34" t="s">
        <v>0</v>
      </c>
      <c r="AJ53" s="34" t="s">
        <v>0</v>
      </c>
      <c r="AK53" s="34" t="s">
        <v>0</v>
      </c>
    </row>
    <row r="54" spans="1:37">
      <c r="A54" s="27"/>
      <c r="B54" s="27"/>
      <c r="C54" s="22" t="s">
        <v>48</v>
      </c>
      <c r="D54" s="22">
        <v>0.988517</v>
      </c>
      <c r="E54" s="22">
        <v>0.782857</v>
      </c>
      <c r="F54" s="22">
        <v>0.008211</v>
      </c>
      <c r="G54" s="22">
        <v>0.016243</v>
      </c>
      <c r="H54" s="22">
        <v>0.802585</v>
      </c>
      <c r="I54" s="22">
        <v>1</v>
      </c>
      <c r="J54" s="22">
        <v>0.882332</v>
      </c>
      <c r="K54" s="22">
        <v>0.001524</v>
      </c>
      <c r="L54" s="22">
        <v>0.802585</v>
      </c>
      <c r="M54" s="22">
        <v>0.200187</v>
      </c>
      <c r="N54" s="22">
        <v>0.318508</v>
      </c>
      <c r="O54" s="22">
        <v>0.792103</v>
      </c>
      <c r="P54" s="22">
        <v>0.956206</v>
      </c>
      <c r="Q54" s="22">
        <v>0.858437</v>
      </c>
      <c r="R54" s="22">
        <v>0.837532</v>
      </c>
      <c r="S54" s="22">
        <v>0.460392</v>
      </c>
      <c r="T54" s="22">
        <v>0.989526</v>
      </c>
      <c r="U54" s="22">
        <v>0.959959</v>
      </c>
      <c r="V54" s="22">
        <v>0.970863</v>
      </c>
      <c r="W54" s="25">
        <v>0.909547</v>
      </c>
      <c r="X54" s="22">
        <v>226</v>
      </c>
      <c r="Y54" s="22">
        <v>875.5</v>
      </c>
      <c r="Z54" s="22">
        <v>0</v>
      </c>
      <c r="AA54" s="22">
        <v>1.476237</v>
      </c>
      <c r="AB54" s="22">
        <v>98.732143</v>
      </c>
      <c r="AC54" s="34" t="s">
        <v>0</v>
      </c>
      <c r="AD54" s="34" t="s">
        <v>0</v>
      </c>
      <c r="AE54" s="34" t="s">
        <v>0</v>
      </c>
      <c r="AF54" s="34" t="s">
        <v>0</v>
      </c>
      <c r="AG54" s="34" t="s">
        <v>0</v>
      </c>
      <c r="AH54" s="34" t="s">
        <v>0</v>
      </c>
      <c r="AI54" s="34" t="s">
        <v>0</v>
      </c>
      <c r="AJ54" s="34" t="s">
        <v>0</v>
      </c>
      <c r="AK54" s="34" t="s">
        <v>0</v>
      </c>
    </row>
    <row r="55" spans="1:37">
      <c r="A55" s="27"/>
      <c r="B55" s="27"/>
      <c r="C55" s="22" t="s">
        <v>49</v>
      </c>
      <c r="D55" s="22">
        <v>0.995333</v>
      </c>
      <c r="E55" s="22">
        <v>0.784375</v>
      </c>
      <c r="F55" s="22">
        <v>0.005481</v>
      </c>
      <c r="G55" s="22">
        <v>0.010885</v>
      </c>
      <c r="H55" s="22">
        <v>0.806288</v>
      </c>
      <c r="I55" s="22">
        <v>1</v>
      </c>
      <c r="J55" s="22">
        <v>0.884085</v>
      </c>
      <c r="K55" s="22">
        <v>0.001209</v>
      </c>
      <c r="L55" s="22">
        <v>0.806288</v>
      </c>
      <c r="M55" s="22">
        <v>0.200189</v>
      </c>
      <c r="N55" s="22">
        <v>0.318689</v>
      </c>
      <c r="O55" s="22">
        <v>0.797774</v>
      </c>
      <c r="P55" s="22">
        <v>0.956418</v>
      </c>
      <c r="Q55" s="22">
        <v>0.861182</v>
      </c>
      <c r="R55" s="22">
        <v>0.913635</v>
      </c>
      <c r="S55" s="22">
        <v>0.651311</v>
      </c>
      <c r="T55" s="22">
        <v>0.995583</v>
      </c>
      <c r="U55" s="22">
        <v>0.979994</v>
      </c>
      <c r="V55" s="22">
        <v>0.987515</v>
      </c>
      <c r="W55" s="25">
        <v>0.954547</v>
      </c>
      <c r="X55" s="22" t="s">
        <v>0</v>
      </c>
      <c r="Y55" s="22">
        <v>108.5</v>
      </c>
      <c r="Z55" s="22">
        <v>0</v>
      </c>
      <c r="AA55" s="22">
        <v>0.435252</v>
      </c>
      <c r="AB55" s="22">
        <v>279.027778</v>
      </c>
      <c r="AC55" s="34" t="s">
        <v>0</v>
      </c>
      <c r="AD55" s="34" t="s">
        <v>0</v>
      </c>
      <c r="AE55" s="34" t="s">
        <v>0</v>
      </c>
      <c r="AF55" s="34" t="s">
        <v>0</v>
      </c>
      <c r="AG55" s="34" t="s">
        <v>0</v>
      </c>
      <c r="AH55" s="34" t="s">
        <v>0</v>
      </c>
      <c r="AI55" s="34" t="s">
        <v>0</v>
      </c>
      <c r="AJ55" s="34" t="s">
        <v>0</v>
      </c>
      <c r="AK55" s="34" t="s">
        <v>0</v>
      </c>
    </row>
    <row r="56" spans="1:37">
      <c r="A56" s="27"/>
      <c r="B56" s="27"/>
      <c r="C56" s="22" t="s">
        <v>50</v>
      </c>
      <c r="D56" s="22">
        <v>0.992429</v>
      </c>
      <c r="E56" s="22">
        <v>0.835227</v>
      </c>
      <c r="F56" s="22">
        <v>0.008</v>
      </c>
      <c r="G56" s="22">
        <v>0.015848</v>
      </c>
      <c r="H56" s="22">
        <v>0.822527</v>
      </c>
      <c r="I56" s="22">
        <v>1</v>
      </c>
      <c r="J56" s="22">
        <v>0.899834</v>
      </c>
      <c r="K56" s="22">
        <v>0.001093</v>
      </c>
      <c r="L56" s="22">
        <v>0.822527</v>
      </c>
      <c r="M56" s="22">
        <v>0.200198</v>
      </c>
      <c r="N56" s="22">
        <v>0.321378</v>
      </c>
      <c r="O56" s="22">
        <v>0.842352</v>
      </c>
      <c r="P56" s="22">
        <v>0.974555</v>
      </c>
      <c r="Q56" s="22">
        <v>0.902154</v>
      </c>
      <c r="R56" s="22">
        <v>0.874101</v>
      </c>
      <c r="S56" s="22">
        <v>0.577783</v>
      </c>
      <c r="T56" s="22">
        <v>0.992181</v>
      </c>
      <c r="U56" s="22">
        <v>0.966481</v>
      </c>
      <c r="V56" s="22">
        <v>0.978132</v>
      </c>
      <c r="W56" s="25">
        <v>0.925162</v>
      </c>
      <c r="X56" s="22">
        <v>343</v>
      </c>
      <c r="Y56" s="22">
        <v>76</v>
      </c>
      <c r="Z56" s="22">
        <v>0.5</v>
      </c>
      <c r="AA56" s="22">
        <v>0.988373</v>
      </c>
      <c r="AB56" s="22">
        <v>142.108631</v>
      </c>
      <c r="AC56" s="34" t="s">
        <v>0</v>
      </c>
      <c r="AD56" s="34" t="s">
        <v>0</v>
      </c>
      <c r="AE56" s="34" t="s">
        <v>0</v>
      </c>
      <c r="AF56" s="34" t="s">
        <v>0</v>
      </c>
      <c r="AG56" s="34" t="s">
        <v>0</v>
      </c>
      <c r="AH56" s="34" t="s">
        <v>0</v>
      </c>
      <c r="AI56" s="34" t="s">
        <v>0</v>
      </c>
      <c r="AJ56" s="34" t="s">
        <v>0</v>
      </c>
      <c r="AK56" s="34" t="s">
        <v>0</v>
      </c>
    </row>
    <row r="57" spans="1:37">
      <c r="A57" s="27"/>
      <c r="B57" s="27"/>
      <c r="C57" s="22" t="s">
        <v>51</v>
      </c>
      <c r="D57" s="22">
        <v>0.995269</v>
      </c>
      <c r="E57" s="22">
        <v>0.794105</v>
      </c>
      <c r="F57" s="22">
        <v>0.014144</v>
      </c>
      <c r="G57" s="22">
        <v>0.027765</v>
      </c>
      <c r="H57" s="22">
        <v>0.760386</v>
      </c>
      <c r="I57" s="22">
        <v>1</v>
      </c>
      <c r="J57" s="22">
        <v>0.849747</v>
      </c>
      <c r="K57" s="22">
        <v>0.002216</v>
      </c>
      <c r="L57" s="22">
        <v>0.760386</v>
      </c>
      <c r="M57" s="22">
        <v>0.200329</v>
      </c>
      <c r="N57" s="22">
        <v>0.313498</v>
      </c>
      <c r="O57" s="22">
        <v>0.805201</v>
      </c>
      <c r="P57" s="22">
        <v>0.946561</v>
      </c>
      <c r="Q57" s="22">
        <v>0.86322</v>
      </c>
      <c r="R57" s="22">
        <v>0.866482</v>
      </c>
      <c r="S57" s="22">
        <v>0.575833</v>
      </c>
      <c r="T57" s="22">
        <v>0.990084</v>
      </c>
      <c r="U57" s="22">
        <v>0.964951</v>
      </c>
      <c r="V57" s="22">
        <v>0.973134</v>
      </c>
      <c r="W57" s="25">
        <v>0.923729</v>
      </c>
      <c r="X57" s="22">
        <v>237</v>
      </c>
      <c r="Y57" s="22">
        <v>411</v>
      </c>
      <c r="Z57" s="22">
        <v>0</v>
      </c>
      <c r="AA57" s="22">
        <v>0.484449</v>
      </c>
      <c r="AB57" s="22">
        <v>218.5</v>
      </c>
      <c r="AC57" s="34" t="s">
        <v>0</v>
      </c>
      <c r="AD57" s="34" t="s">
        <v>0</v>
      </c>
      <c r="AE57" s="34" t="s">
        <v>0</v>
      </c>
      <c r="AF57" s="34" t="s">
        <v>0</v>
      </c>
      <c r="AG57" s="34" t="s">
        <v>0</v>
      </c>
      <c r="AH57" s="34" t="s">
        <v>0</v>
      </c>
      <c r="AI57" s="34" t="s">
        <v>0</v>
      </c>
      <c r="AJ57" s="34" t="s">
        <v>0</v>
      </c>
      <c r="AK57" s="34" t="s">
        <v>0</v>
      </c>
    </row>
    <row r="58" spans="1:37">
      <c r="A58" s="27"/>
      <c r="B58" s="27"/>
      <c r="C58" s="22" t="s">
        <v>52</v>
      </c>
      <c r="D58" s="22">
        <v>0.991162</v>
      </c>
      <c r="E58" s="22">
        <v>0.893773</v>
      </c>
      <c r="F58" s="22">
        <v>0.010141</v>
      </c>
      <c r="G58" s="22">
        <v>0.020053</v>
      </c>
      <c r="H58" s="22">
        <v>0.898594</v>
      </c>
      <c r="I58" s="22">
        <v>1</v>
      </c>
      <c r="J58" s="22">
        <v>0.945343</v>
      </c>
      <c r="K58" s="22">
        <v>0.000862</v>
      </c>
      <c r="L58" s="22">
        <v>0.898594</v>
      </c>
      <c r="M58" s="22">
        <v>0.200186</v>
      </c>
      <c r="N58" s="22">
        <v>0.327167</v>
      </c>
      <c r="O58" s="22">
        <v>0.904696</v>
      </c>
      <c r="P58" s="22">
        <v>0.988177</v>
      </c>
      <c r="Q58" s="22">
        <v>0.943607</v>
      </c>
      <c r="R58" s="22">
        <v>0.860974</v>
      </c>
      <c r="S58" s="22">
        <v>0.465679</v>
      </c>
      <c r="T58" s="22">
        <v>0.987507</v>
      </c>
      <c r="U58" s="22">
        <v>0.957419</v>
      </c>
      <c r="V58" s="22">
        <v>0.965157</v>
      </c>
      <c r="W58" s="25">
        <v>0.90645</v>
      </c>
      <c r="X58" s="22">
        <v>431</v>
      </c>
      <c r="Y58" s="22">
        <v>22.5</v>
      </c>
      <c r="Z58" s="22">
        <v>0.5</v>
      </c>
      <c r="AA58" s="22">
        <v>1.24802</v>
      </c>
      <c r="AB58" s="22">
        <v>116.648551</v>
      </c>
      <c r="AC58" s="34" t="s">
        <v>0</v>
      </c>
      <c r="AD58" s="34" t="s">
        <v>0</v>
      </c>
      <c r="AE58" s="34" t="s">
        <v>0</v>
      </c>
      <c r="AF58" s="34" t="s">
        <v>0</v>
      </c>
      <c r="AG58" s="34" t="s">
        <v>0</v>
      </c>
      <c r="AH58" s="34" t="s">
        <v>0</v>
      </c>
      <c r="AI58" s="34" t="s">
        <v>0</v>
      </c>
      <c r="AJ58" s="34" t="s">
        <v>0</v>
      </c>
      <c r="AK58" s="34" t="s">
        <v>0</v>
      </c>
    </row>
    <row r="59" spans="1:37">
      <c r="A59" s="27"/>
      <c r="B59" s="27"/>
      <c r="C59" s="22" t="s">
        <v>53</v>
      </c>
      <c r="D59" s="22">
        <v>0.995941</v>
      </c>
      <c r="E59" s="22">
        <v>0.831495</v>
      </c>
      <c r="F59" s="22">
        <v>0.014986</v>
      </c>
      <c r="G59" s="22">
        <v>0.029371</v>
      </c>
      <c r="H59" s="22">
        <v>0.840805</v>
      </c>
      <c r="I59" s="22">
        <v>1</v>
      </c>
      <c r="J59" s="22">
        <v>0.909803</v>
      </c>
      <c r="K59" s="22">
        <v>0.003883</v>
      </c>
      <c r="L59" s="22">
        <v>0.840805</v>
      </c>
      <c r="M59" s="22">
        <v>0.20042</v>
      </c>
      <c r="N59" s="22">
        <v>0.322848</v>
      </c>
      <c r="O59" s="22">
        <v>0.847877</v>
      </c>
      <c r="P59" s="22">
        <v>0.945491</v>
      </c>
      <c r="Q59" s="22">
        <v>0.890198</v>
      </c>
      <c r="R59" s="22">
        <v>0.864451</v>
      </c>
      <c r="S59" s="22">
        <v>0.552535</v>
      </c>
      <c r="T59" s="22">
        <v>0.990837</v>
      </c>
      <c r="U59" s="22">
        <v>0.963899</v>
      </c>
      <c r="V59" s="22">
        <v>0.974361</v>
      </c>
      <c r="W59" s="25">
        <v>0.920015</v>
      </c>
      <c r="X59" s="22">
        <v>239</v>
      </c>
      <c r="Y59" s="22">
        <v>818.5</v>
      </c>
      <c r="Z59" s="22">
        <v>0</v>
      </c>
      <c r="AA59" s="22">
        <v>0.279122</v>
      </c>
      <c r="AB59" s="22">
        <v>490.325</v>
      </c>
      <c r="AC59" s="34" t="s">
        <v>0</v>
      </c>
      <c r="AD59" s="34" t="s">
        <v>0</v>
      </c>
      <c r="AE59" s="34" t="s">
        <v>0</v>
      </c>
      <c r="AF59" s="34" t="s">
        <v>0</v>
      </c>
      <c r="AG59" s="34" t="s">
        <v>0</v>
      </c>
      <c r="AH59" s="34" t="s">
        <v>0</v>
      </c>
      <c r="AI59" s="34" t="s">
        <v>0</v>
      </c>
      <c r="AJ59" s="34" t="s">
        <v>0</v>
      </c>
      <c r="AK59" s="34" t="s">
        <v>0</v>
      </c>
    </row>
    <row r="60" spans="1:37">
      <c r="A60" s="27"/>
      <c r="B60" s="27"/>
      <c r="C60" s="22" t="s">
        <v>54</v>
      </c>
      <c r="D60" s="22">
        <v>0.99409</v>
      </c>
      <c r="E60" s="22">
        <v>0.680952</v>
      </c>
      <c r="F60" s="22">
        <v>0.005944</v>
      </c>
      <c r="G60" s="22">
        <v>0.011785</v>
      </c>
      <c r="H60" s="22">
        <v>0.705769</v>
      </c>
      <c r="I60" s="22">
        <v>1</v>
      </c>
      <c r="J60" s="22">
        <v>0.800541</v>
      </c>
      <c r="K60" s="22">
        <v>0.001209</v>
      </c>
      <c r="L60" s="22">
        <v>0.705769</v>
      </c>
      <c r="M60" s="22">
        <v>0.200233</v>
      </c>
      <c r="N60" s="22">
        <v>0.304275</v>
      </c>
      <c r="O60" s="22">
        <v>0.706245</v>
      </c>
      <c r="P60" s="22">
        <v>0.954309</v>
      </c>
      <c r="Q60" s="22">
        <v>0.793102</v>
      </c>
      <c r="R60" s="22">
        <v>0.833214</v>
      </c>
      <c r="S60" s="22">
        <v>0.470693</v>
      </c>
      <c r="T60" s="22">
        <v>0.988868</v>
      </c>
      <c r="U60" s="22">
        <v>0.959128</v>
      </c>
      <c r="V60" s="22">
        <v>0.969351</v>
      </c>
      <c r="W60" s="25">
        <v>0.908643</v>
      </c>
      <c r="X60" s="22" t="s">
        <v>0</v>
      </c>
      <c r="Y60" s="22">
        <v>109.5</v>
      </c>
      <c r="Z60" s="22">
        <v>0</v>
      </c>
      <c r="AA60" s="22">
        <v>0.542184</v>
      </c>
      <c r="AB60" s="22">
        <v>309.228571</v>
      </c>
      <c r="AC60" s="34" t="s">
        <v>0</v>
      </c>
      <c r="AD60" s="34" t="s">
        <v>0</v>
      </c>
      <c r="AE60" s="34" t="s">
        <v>0</v>
      </c>
      <c r="AF60" s="34" t="s">
        <v>0</v>
      </c>
      <c r="AG60" s="34" t="s">
        <v>0</v>
      </c>
      <c r="AH60" s="34" t="s">
        <v>0</v>
      </c>
      <c r="AI60" s="34" t="s">
        <v>0</v>
      </c>
      <c r="AJ60" s="34" t="s">
        <v>0</v>
      </c>
      <c r="AK60" s="34" t="s">
        <v>0</v>
      </c>
    </row>
    <row r="61" spans="1:37">
      <c r="A61" s="27"/>
      <c r="B61" s="27"/>
      <c r="C61" s="22" t="s">
        <v>55</v>
      </c>
      <c r="D61" s="22">
        <v>0.995245</v>
      </c>
      <c r="E61" s="22">
        <v>0.789016</v>
      </c>
      <c r="F61" s="22">
        <v>0.011687</v>
      </c>
      <c r="G61" s="22">
        <v>0.023033</v>
      </c>
      <c r="H61" s="22">
        <v>0.808742</v>
      </c>
      <c r="I61" s="22">
        <v>1</v>
      </c>
      <c r="J61" s="22">
        <v>0.891515</v>
      </c>
      <c r="K61" s="22">
        <v>0.002698</v>
      </c>
      <c r="L61" s="22">
        <v>0.808742</v>
      </c>
      <c r="M61" s="22">
        <v>0.200254</v>
      </c>
      <c r="N61" s="22">
        <v>0.320376</v>
      </c>
      <c r="O61" s="22">
        <v>0.806055</v>
      </c>
      <c r="P61" s="22">
        <v>0.967278</v>
      </c>
      <c r="Q61" s="22">
        <v>0.875744</v>
      </c>
      <c r="R61" s="22">
        <v>0.872097</v>
      </c>
      <c r="S61" s="22">
        <v>0.594126</v>
      </c>
      <c r="T61" s="22">
        <v>0.99143</v>
      </c>
      <c r="U61" s="22">
        <v>0.966963</v>
      </c>
      <c r="V61" s="22">
        <v>0.976098</v>
      </c>
      <c r="W61" s="25">
        <v>0.927462</v>
      </c>
      <c r="X61" s="22">
        <v>235</v>
      </c>
      <c r="Y61" s="22">
        <v>151</v>
      </c>
      <c r="Z61" s="22">
        <v>0</v>
      </c>
      <c r="AA61" s="22">
        <v>0.581135</v>
      </c>
      <c r="AB61" s="22">
        <v>176.399038</v>
      </c>
      <c r="AC61" s="34" t="s">
        <v>0</v>
      </c>
      <c r="AD61" s="34" t="s">
        <v>0</v>
      </c>
      <c r="AE61" s="34" t="s">
        <v>0</v>
      </c>
      <c r="AF61" s="34" t="s">
        <v>0</v>
      </c>
      <c r="AG61" s="34" t="s">
        <v>0</v>
      </c>
      <c r="AH61" s="34" t="s">
        <v>0</v>
      </c>
      <c r="AI61" s="34" t="s">
        <v>0</v>
      </c>
      <c r="AJ61" s="34" t="s">
        <v>0</v>
      </c>
      <c r="AK61" s="34" t="s">
        <v>0</v>
      </c>
    </row>
    <row r="62" spans="1:37">
      <c r="A62" s="27"/>
      <c r="B62" s="27"/>
      <c r="C62" s="22" t="s">
        <v>56</v>
      </c>
      <c r="D62" s="22">
        <v>0.994598</v>
      </c>
      <c r="E62" s="22">
        <v>0.861132</v>
      </c>
      <c r="F62" s="22">
        <v>0.008526</v>
      </c>
      <c r="G62" s="22">
        <v>0.016884</v>
      </c>
      <c r="H62" s="22">
        <v>0.933333</v>
      </c>
      <c r="I62" s="22">
        <v>1</v>
      </c>
      <c r="J62" s="22">
        <v>0.96521</v>
      </c>
      <c r="K62" s="22">
        <v>0.003442</v>
      </c>
      <c r="L62" s="22">
        <v>0.933333</v>
      </c>
      <c r="M62" s="22">
        <v>0.200506</v>
      </c>
      <c r="N62" s="22">
        <v>0.330032</v>
      </c>
      <c r="O62" s="22">
        <v>0.874863</v>
      </c>
      <c r="P62" s="22">
        <v>0.890885</v>
      </c>
      <c r="Q62" s="22">
        <v>0.882734</v>
      </c>
      <c r="R62" s="22">
        <v>0.86416</v>
      </c>
      <c r="S62" s="22">
        <v>0.436854</v>
      </c>
      <c r="T62" s="22">
        <v>0.991657</v>
      </c>
      <c r="U62" s="22">
        <v>0.957894</v>
      </c>
      <c r="V62" s="22">
        <v>0.976269</v>
      </c>
      <c r="W62" s="25">
        <v>0.903385</v>
      </c>
      <c r="X62" s="22" t="s">
        <v>0</v>
      </c>
      <c r="Y62" s="22">
        <v>1376.5</v>
      </c>
      <c r="Z62" s="22">
        <v>0</v>
      </c>
      <c r="AA62" s="22">
        <v>0.421591</v>
      </c>
      <c r="AB62" s="22">
        <v>80.357143</v>
      </c>
      <c r="AC62" s="34" t="s">
        <v>0</v>
      </c>
      <c r="AD62" s="34" t="s">
        <v>0</v>
      </c>
      <c r="AE62" s="34" t="s">
        <v>0</v>
      </c>
      <c r="AF62" s="34" t="s">
        <v>0</v>
      </c>
      <c r="AG62" s="34" t="s">
        <v>0</v>
      </c>
      <c r="AH62" s="34" t="s">
        <v>0</v>
      </c>
      <c r="AI62" s="34" t="s">
        <v>0</v>
      </c>
      <c r="AJ62" s="34" t="s">
        <v>0</v>
      </c>
      <c r="AK62" s="34" t="s">
        <v>0</v>
      </c>
    </row>
    <row r="63" spans="1:37">
      <c r="A63" s="27"/>
      <c r="B63" s="27"/>
      <c r="C63" s="22" t="s">
        <v>57</v>
      </c>
      <c r="D63" s="22">
        <v>0.993065</v>
      </c>
      <c r="E63" s="22">
        <v>0.814147</v>
      </c>
      <c r="F63" s="22">
        <v>0.014586</v>
      </c>
      <c r="G63" s="22">
        <v>0.028576</v>
      </c>
      <c r="H63" s="22">
        <v>0.842143</v>
      </c>
      <c r="I63" s="22">
        <v>1</v>
      </c>
      <c r="J63" s="22">
        <v>0.909052</v>
      </c>
      <c r="K63" s="22">
        <v>0.001902</v>
      </c>
      <c r="L63" s="22">
        <v>0.842143</v>
      </c>
      <c r="M63" s="22">
        <v>0.200248</v>
      </c>
      <c r="N63" s="22">
        <v>0.32238</v>
      </c>
      <c r="O63" s="22">
        <v>0.832966</v>
      </c>
      <c r="P63" s="22">
        <v>0.947232</v>
      </c>
      <c r="Q63" s="22">
        <v>0.880688</v>
      </c>
      <c r="R63" s="22">
        <v>0.877733</v>
      </c>
      <c r="S63" s="22">
        <v>0.553647</v>
      </c>
      <c r="T63" s="22">
        <v>0.992233</v>
      </c>
      <c r="U63" s="22">
        <v>0.967126</v>
      </c>
      <c r="V63" s="22">
        <v>0.978067</v>
      </c>
      <c r="W63" s="25">
        <v>0.926299</v>
      </c>
      <c r="X63" s="22">
        <v>234</v>
      </c>
      <c r="Y63" s="22">
        <v>821</v>
      </c>
      <c r="Z63" s="22">
        <v>0</v>
      </c>
      <c r="AA63" s="22">
        <v>0.487864</v>
      </c>
      <c r="AB63" s="22">
        <v>338.863636</v>
      </c>
      <c r="AC63" s="34" t="s">
        <v>0</v>
      </c>
      <c r="AD63" s="34" t="s">
        <v>0</v>
      </c>
      <c r="AE63" s="34" t="s">
        <v>0</v>
      </c>
      <c r="AF63" s="34" t="s">
        <v>0</v>
      </c>
      <c r="AG63" s="34" t="s">
        <v>0</v>
      </c>
      <c r="AH63" s="34" t="s">
        <v>0</v>
      </c>
      <c r="AI63" s="34" t="s">
        <v>0</v>
      </c>
      <c r="AJ63" s="34" t="s">
        <v>0</v>
      </c>
      <c r="AK63" s="34" t="s">
        <v>0</v>
      </c>
    </row>
    <row r="64" spans="1:37">
      <c r="A64" s="27"/>
      <c r="B64" s="27"/>
      <c r="C64" s="22" t="s">
        <v>58</v>
      </c>
      <c r="D64" s="22">
        <v>0.999317</v>
      </c>
      <c r="E64" s="22">
        <v>0.5</v>
      </c>
      <c r="F64" s="22">
        <v>0.000579</v>
      </c>
      <c r="G64" s="22">
        <v>0.001156</v>
      </c>
      <c r="H64" s="22">
        <v>0.5</v>
      </c>
      <c r="I64" s="22">
        <v>0.5</v>
      </c>
      <c r="J64" s="22">
        <v>0.5</v>
      </c>
      <c r="K64" s="22">
        <v>0.000347</v>
      </c>
      <c r="L64" s="22">
        <v>0.5</v>
      </c>
      <c r="M64" s="22">
        <v>0.100093</v>
      </c>
      <c r="N64" s="22">
        <v>0.166795</v>
      </c>
      <c r="O64" s="22">
        <v>0.561989</v>
      </c>
      <c r="P64" s="22">
        <v>0.563361</v>
      </c>
      <c r="Q64" s="22">
        <v>0.544779</v>
      </c>
      <c r="R64" s="22">
        <v>0.804179</v>
      </c>
      <c r="S64" s="22">
        <v>0.360253</v>
      </c>
      <c r="T64" s="22">
        <v>0.986185</v>
      </c>
      <c r="U64" s="22">
        <v>0.94931</v>
      </c>
      <c r="V64" s="22">
        <v>0.962551</v>
      </c>
      <c r="W64" s="25">
        <v>0.884709</v>
      </c>
      <c r="X64" s="22" t="s">
        <v>0</v>
      </c>
      <c r="Y64" s="22">
        <v>1432</v>
      </c>
      <c r="Z64" s="22">
        <v>0</v>
      </c>
      <c r="AA64" s="22">
        <v>0.049197</v>
      </c>
      <c r="AB64" s="22">
        <v>1526</v>
      </c>
      <c r="AC64" s="34" t="s">
        <v>0</v>
      </c>
      <c r="AD64" s="34" t="s">
        <v>0</v>
      </c>
      <c r="AE64" s="34" t="s">
        <v>0</v>
      </c>
      <c r="AF64" s="34" t="s">
        <v>0</v>
      </c>
      <c r="AG64" s="34" t="s">
        <v>0</v>
      </c>
      <c r="AH64" s="34" t="s">
        <v>0</v>
      </c>
      <c r="AI64" s="34" t="s">
        <v>0</v>
      </c>
      <c r="AJ64" s="34" t="s">
        <v>0</v>
      </c>
      <c r="AK64" s="34" t="s">
        <v>0</v>
      </c>
    </row>
    <row r="65" spans="1:37">
      <c r="A65" s="27"/>
      <c r="B65" s="27"/>
      <c r="C65" s="22" t="s">
        <v>59</v>
      </c>
      <c r="D65" s="22">
        <v>1</v>
      </c>
      <c r="E65" s="22">
        <v>0.46875</v>
      </c>
      <c r="F65" s="22">
        <v>0.00868</v>
      </c>
      <c r="G65" s="22">
        <v>0.017044</v>
      </c>
      <c r="H65" s="22">
        <v>0.464286</v>
      </c>
      <c r="I65" s="22">
        <v>0.5</v>
      </c>
      <c r="J65" s="22">
        <v>0.481481</v>
      </c>
      <c r="K65" s="22">
        <v>0.002309</v>
      </c>
      <c r="L65" s="22">
        <v>0.464286</v>
      </c>
      <c r="M65" s="22">
        <v>0.100534</v>
      </c>
      <c r="N65" s="22">
        <v>0.165279</v>
      </c>
      <c r="O65" s="22">
        <v>0.529684</v>
      </c>
      <c r="P65" s="22">
        <v>0.547137</v>
      </c>
      <c r="Q65" s="22">
        <v>0.521377</v>
      </c>
      <c r="R65" s="22">
        <v>0.824825</v>
      </c>
      <c r="S65" s="22">
        <v>0.477695</v>
      </c>
      <c r="T65" s="22">
        <v>0.987351</v>
      </c>
      <c r="U65" s="22">
        <v>0.95507</v>
      </c>
      <c r="V65" s="22">
        <v>0.965507</v>
      </c>
      <c r="W65" s="25">
        <v>0.900125</v>
      </c>
      <c r="X65" s="22" t="s">
        <v>0</v>
      </c>
      <c r="Y65" s="22">
        <v>3799</v>
      </c>
      <c r="Z65" s="22">
        <v>0</v>
      </c>
      <c r="AA65" s="22">
        <v>0</v>
      </c>
      <c r="AB65" s="22" t="s">
        <v>0</v>
      </c>
      <c r="AC65" s="34" t="s">
        <v>0</v>
      </c>
      <c r="AD65" s="34" t="s">
        <v>0</v>
      </c>
      <c r="AE65" s="34" t="s">
        <v>0</v>
      </c>
      <c r="AF65" s="34" t="s">
        <v>0</v>
      </c>
      <c r="AG65" s="34" t="s">
        <v>0</v>
      </c>
      <c r="AH65" s="34" t="s">
        <v>0</v>
      </c>
      <c r="AI65" s="34" t="s">
        <v>0</v>
      </c>
      <c r="AJ65" s="34" t="s">
        <v>0</v>
      </c>
      <c r="AK65" s="34" t="s">
        <v>0</v>
      </c>
    </row>
    <row r="66" spans="1:37">
      <c r="A66" s="27"/>
      <c r="B66" s="27"/>
      <c r="C66" s="22" t="s">
        <v>60</v>
      </c>
      <c r="D66" s="22">
        <v>0.992306</v>
      </c>
      <c r="E66" s="22">
        <v>0.889286</v>
      </c>
      <c r="F66" s="22">
        <v>0.012271</v>
      </c>
      <c r="G66" s="22">
        <v>0.024198</v>
      </c>
      <c r="H66" s="22">
        <v>0.885091</v>
      </c>
      <c r="I66" s="22">
        <v>1</v>
      </c>
      <c r="J66" s="22">
        <v>0.937705</v>
      </c>
      <c r="K66" s="22">
        <v>0.001093</v>
      </c>
      <c r="L66" s="22">
        <v>0.885091</v>
      </c>
      <c r="M66" s="22">
        <v>0.200187</v>
      </c>
      <c r="N66" s="22">
        <v>0.326238</v>
      </c>
      <c r="O66" s="22">
        <v>0.894639</v>
      </c>
      <c r="P66" s="22">
        <v>0.968542</v>
      </c>
      <c r="Q66" s="22">
        <v>0.929655</v>
      </c>
      <c r="R66" s="22">
        <v>0.868488</v>
      </c>
      <c r="S66" s="22">
        <v>0.544634</v>
      </c>
      <c r="T66" s="22">
        <v>0.991047</v>
      </c>
      <c r="U66" s="22">
        <v>0.964572</v>
      </c>
      <c r="V66" s="22">
        <v>0.975186</v>
      </c>
      <c r="W66" s="25">
        <v>0.921356</v>
      </c>
      <c r="X66" s="22">
        <v>236</v>
      </c>
      <c r="Y66" s="22">
        <v>278.5</v>
      </c>
      <c r="Z66" s="22">
        <v>0</v>
      </c>
      <c r="AA66" s="22">
        <v>1.058754</v>
      </c>
      <c r="AB66" s="22">
        <v>139.063187</v>
      </c>
      <c r="AC66" s="34" t="s">
        <v>0</v>
      </c>
      <c r="AD66" s="34" t="s">
        <v>0</v>
      </c>
      <c r="AE66" s="34" t="s">
        <v>0</v>
      </c>
      <c r="AF66" s="34" t="s">
        <v>0</v>
      </c>
      <c r="AG66" s="34" t="s">
        <v>0</v>
      </c>
      <c r="AH66" s="34" t="s">
        <v>0</v>
      </c>
      <c r="AI66" s="34" t="s">
        <v>0</v>
      </c>
      <c r="AJ66" s="34" t="s">
        <v>0</v>
      </c>
      <c r="AK66" s="34" t="s">
        <v>0</v>
      </c>
    </row>
    <row r="67" spans="1:37">
      <c r="A67" s="27"/>
      <c r="B67" s="27"/>
      <c r="C67" s="22" t="s">
        <v>61</v>
      </c>
      <c r="D67" s="22">
        <v>1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0.781183</v>
      </c>
      <c r="S67" s="22">
        <v>0.316577</v>
      </c>
      <c r="T67" s="22">
        <v>0.98618</v>
      </c>
      <c r="U67" s="22">
        <v>0.947258</v>
      </c>
      <c r="V67" s="22">
        <v>0.961528</v>
      </c>
      <c r="W67" s="25">
        <v>0.878354</v>
      </c>
      <c r="X67" s="22" t="s">
        <v>0</v>
      </c>
      <c r="Y67" s="22" t="s">
        <v>0</v>
      </c>
      <c r="Z67" s="22">
        <v>0</v>
      </c>
      <c r="AA67" s="22">
        <v>0</v>
      </c>
      <c r="AB67" s="22" t="s">
        <v>0</v>
      </c>
      <c r="AC67" s="34" t="s">
        <v>0</v>
      </c>
      <c r="AD67" s="34" t="s">
        <v>0</v>
      </c>
      <c r="AE67" s="34" t="s">
        <v>0</v>
      </c>
      <c r="AF67" s="34" t="s">
        <v>0</v>
      </c>
      <c r="AG67" s="34" t="s">
        <v>0</v>
      </c>
      <c r="AH67" s="34" t="s">
        <v>0</v>
      </c>
      <c r="AI67" s="34" t="s">
        <v>0</v>
      </c>
      <c r="AJ67" s="34" t="s">
        <v>0</v>
      </c>
      <c r="AK67" s="34" t="s">
        <v>0</v>
      </c>
    </row>
    <row r="68" spans="1:37">
      <c r="A68" s="27"/>
      <c r="B68" s="27"/>
      <c r="C68" s="22" t="s">
        <v>62</v>
      </c>
      <c r="D68" s="22">
        <v>0.996242</v>
      </c>
      <c r="E68" s="22">
        <v>0.5</v>
      </c>
      <c r="F68" s="22">
        <v>5.8e-5</v>
      </c>
      <c r="G68" s="22">
        <v>0.000116</v>
      </c>
      <c r="H68" s="22">
        <v>0.5</v>
      </c>
      <c r="I68" s="22">
        <v>0.5</v>
      </c>
      <c r="J68" s="22">
        <v>0.5</v>
      </c>
      <c r="K68" s="22">
        <v>0.000116</v>
      </c>
      <c r="L68" s="22">
        <v>0.5</v>
      </c>
      <c r="M68" s="22">
        <v>0.100046</v>
      </c>
      <c r="N68" s="22">
        <v>0.166731</v>
      </c>
      <c r="O68" s="22">
        <v>0.566026</v>
      </c>
      <c r="P68" s="22">
        <v>0.46627</v>
      </c>
      <c r="Q68" s="22">
        <v>0.476219</v>
      </c>
      <c r="R68" s="22">
        <v>0.781111</v>
      </c>
      <c r="S68" s="22">
        <v>0.304623</v>
      </c>
      <c r="T68" s="22">
        <v>0.985703</v>
      </c>
      <c r="U68" s="22">
        <v>0.946811</v>
      </c>
      <c r="V68" s="22">
        <v>0.960641</v>
      </c>
      <c r="W68" s="25">
        <v>0.877487</v>
      </c>
      <c r="X68" s="22" t="s">
        <v>0</v>
      </c>
      <c r="Y68" s="22">
        <v>3498</v>
      </c>
      <c r="Z68" s="22">
        <v>0</v>
      </c>
      <c r="AA68" s="22">
        <v>0.024599</v>
      </c>
      <c r="AB68" s="22" t="s">
        <v>0</v>
      </c>
      <c r="AC68" s="34" t="s">
        <v>0</v>
      </c>
      <c r="AD68" s="34" t="s">
        <v>0</v>
      </c>
      <c r="AE68" s="34" t="s">
        <v>0</v>
      </c>
      <c r="AF68" s="34" t="s">
        <v>0</v>
      </c>
      <c r="AG68" s="34" t="s">
        <v>0</v>
      </c>
      <c r="AH68" s="34" t="s">
        <v>0</v>
      </c>
      <c r="AI68" s="34" t="s">
        <v>0</v>
      </c>
      <c r="AJ68" s="34" t="s">
        <v>0</v>
      </c>
      <c r="AK68" s="34" t="s">
        <v>0</v>
      </c>
    </row>
    <row r="69" spans="1:37">
      <c r="A69" s="27"/>
      <c r="B69" s="27"/>
      <c r="C69" s="22" t="s">
        <v>63</v>
      </c>
      <c r="D69" s="22">
        <v>1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0.802218</v>
      </c>
      <c r="S69" s="22">
        <v>0.428289</v>
      </c>
      <c r="T69" s="22">
        <v>0.984302</v>
      </c>
      <c r="U69" s="22">
        <v>0.951805</v>
      </c>
      <c r="V69" s="22">
        <v>0.959564</v>
      </c>
      <c r="W69" s="25">
        <v>0.892735</v>
      </c>
      <c r="X69" s="22" t="s">
        <v>0</v>
      </c>
      <c r="Y69" s="22" t="s">
        <v>0</v>
      </c>
      <c r="Z69" s="22">
        <v>0</v>
      </c>
      <c r="AA69" s="22">
        <v>0</v>
      </c>
      <c r="AB69" s="22" t="s">
        <v>0</v>
      </c>
      <c r="AC69" s="34" t="s">
        <v>0</v>
      </c>
      <c r="AD69" s="34" t="s">
        <v>0</v>
      </c>
      <c r="AE69" s="34" t="s">
        <v>0</v>
      </c>
      <c r="AF69" s="34" t="s">
        <v>0</v>
      </c>
      <c r="AG69" s="34" t="s">
        <v>0</v>
      </c>
      <c r="AH69" s="34" t="s">
        <v>0</v>
      </c>
      <c r="AI69" s="34" t="s">
        <v>0</v>
      </c>
      <c r="AJ69" s="34" t="s">
        <v>0</v>
      </c>
      <c r="AK69" s="34" t="s">
        <v>0</v>
      </c>
    </row>
    <row r="70" spans="1:37">
      <c r="A70" s="27"/>
      <c r="B70" s="27"/>
      <c r="C70" s="22" t="s">
        <v>64</v>
      </c>
      <c r="D70" s="22">
        <v>0.997744</v>
      </c>
      <c r="E70" s="22">
        <v>0.615385</v>
      </c>
      <c r="F70" s="22">
        <v>0.005822</v>
      </c>
      <c r="G70" s="22">
        <v>0.011531</v>
      </c>
      <c r="H70" s="22">
        <v>0.75</v>
      </c>
      <c r="I70" s="22">
        <v>1</v>
      </c>
      <c r="J70" s="22">
        <v>0.833333</v>
      </c>
      <c r="K70" s="22">
        <v>0.007552</v>
      </c>
      <c r="L70" s="22">
        <v>0.75</v>
      </c>
      <c r="M70" s="22">
        <v>0.200744</v>
      </c>
      <c r="N70" s="22">
        <v>0.310533</v>
      </c>
      <c r="O70" s="22">
        <v>0.619394</v>
      </c>
      <c r="P70" s="22">
        <v>0.841338</v>
      </c>
      <c r="Q70" s="22">
        <v>0.625109</v>
      </c>
      <c r="R70" s="22">
        <v>0.846365</v>
      </c>
      <c r="S70" s="22">
        <v>0.395789</v>
      </c>
      <c r="T70" s="22">
        <v>0.991717</v>
      </c>
      <c r="U70" s="22">
        <v>0.958332</v>
      </c>
      <c r="V70" s="22">
        <v>0.976</v>
      </c>
      <c r="W70" s="25">
        <v>0.903511</v>
      </c>
      <c r="X70" s="22">
        <v>432</v>
      </c>
      <c r="Y70" s="22">
        <v>334.5</v>
      </c>
      <c r="Z70" s="22">
        <v>0.5</v>
      </c>
      <c r="AA70" s="22">
        <v>0.050905</v>
      </c>
      <c r="AB70" s="22" t="s">
        <v>0</v>
      </c>
      <c r="AC70" s="34" t="s">
        <v>0</v>
      </c>
      <c r="AD70" s="34" t="s">
        <v>0</v>
      </c>
      <c r="AE70" s="34" t="s">
        <v>0</v>
      </c>
      <c r="AF70" s="34" t="s">
        <v>0</v>
      </c>
      <c r="AG70" s="34" t="s">
        <v>0</v>
      </c>
      <c r="AH70" s="34" t="s">
        <v>0</v>
      </c>
      <c r="AI70" s="34" t="s">
        <v>0</v>
      </c>
      <c r="AJ70" s="34" t="s">
        <v>0</v>
      </c>
      <c r="AK70" s="34" t="s">
        <v>0</v>
      </c>
    </row>
    <row r="71" spans="1:37">
      <c r="A71" s="27"/>
      <c r="B71" s="22" t="s">
        <v>65</v>
      </c>
      <c r="C71" s="22" t="s">
        <v>66</v>
      </c>
      <c r="D71" s="22">
        <v>0.991687</v>
      </c>
      <c r="E71" s="22">
        <v>0.889242</v>
      </c>
      <c r="F71" s="22">
        <v>0.015149</v>
      </c>
      <c r="G71" s="22">
        <v>0.029756</v>
      </c>
      <c r="H71" s="22">
        <v>0.878247</v>
      </c>
      <c r="I71" s="22">
        <v>1</v>
      </c>
      <c r="J71" s="22">
        <v>0.931899</v>
      </c>
      <c r="K71" s="22">
        <v>0.001755</v>
      </c>
      <c r="L71" s="22">
        <v>0.878247</v>
      </c>
      <c r="M71" s="22">
        <v>0.200233</v>
      </c>
      <c r="N71" s="22">
        <v>0.325411</v>
      </c>
      <c r="O71" s="22">
        <v>0.898991</v>
      </c>
      <c r="P71" s="22">
        <v>0.980327</v>
      </c>
      <c r="Q71" s="22">
        <v>0.935853</v>
      </c>
      <c r="R71" s="22">
        <v>0.875679</v>
      </c>
      <c r="S71" s="22">
        <v>0.561655</v>
      </c>
      <c r="T71" s="22">
        <v>0.991559</v>
      </c>
      <c r="U71" s="22">
        <v>0.966436</v>
      </c>
      <c r="V71" s="22">
        <v>0.976535</v>
      </c>
      <c r="W71" s="25">
        <v>0.92566</v>
      </c>
      <c r="X71" s="22">
        <v>234</v>
      </c>
      <c r="Y71" s="22">
        <v>135</v>
      </c>
      <c r="Z71" s="22">
        <v>0</v>
      </c>
      <c r="AA71" s="22">
        <v>0.993496</v>
      </c>
      <c r="AB71" s="22">
        <v>148.119883</v>
      </c>
      <c r="AC71" s="34" t="s">
        <v>0</v>
      </c>
      <c r="AD71" s="34" t="s">
        <v>0</v>
      </c>
      <c r="AE71" s="34" t="s">
        <v>0</v>
      </c>
      <c r="AF71" s="34" t="s">
        <v>0</v>
      </c>
      <c r="AG71" s="34" t="s">
        <v>0</v>
      </c>
      <c r="AH71" s="34" t="s">
        <v>0</v>
      </c>
      <c r="AI71" s="34" t="s">
        <v>0</v>
      </c>
      <c r="AJ71" s="34" t="s">
        <v>0</v>
      </c>
      <c r="AK71" s="34" t="s">
        <v>0</v>
      </c>
    </row>
    <row r="72" spans="1:37">
      <c r="A72" s="27"/>
      <c r="B72" s="28"/>
      <c r="C72" s="22" t="s">
        <v>67</v>
      </c>
      <c r="D72" s="22">
        <v>0.992064</v>
      </c>
      <c r="E72" s="22">
        <v>0.823688</v>
      </c>
      <c r="F72" s="22">
        <v>0.01051</v>
      </c>
      <c r="G72" s="22">
        <v>0.020719</v>
      </c>
      <c r="H72" s="22">
        <v>0.832375</v>
      </c>
      <c r="I72" s="22">
        <v>1</v>
      </c>
      <c r="J72" s="22">
        <v>0.904562</v>
      </c>
      <c r="K72" s="22">
        <v>0.001324</v>
      </c>
      <c r="L72" s="22">
        <v>0.832375</v>
      </c>
      <c r="M72" s="22">
        <v>0.200233</v>
      </c>
      <c r="N72" s="22">
        <v>0.321913</v>
      </c>
      <c r="O72" s="22">
        <v>0.832062</v>
      </c>
      <c r="P72" s="22">
        <v>0.95119</v>
      </c>
      <c r="Q72" s="22">
        <v>0.884829</v>
      </c>
      <c r="R72" s="22">
        <v>0.856331</v>
      </c>
      <c r="S72" s="22">
        <v>0.536445</v>
      </c>
      <c r="T72" s="22">
        <v>0.990072</v>
      </c>
      <c r="U72" s="22">
        <v>0.96378</v>
      </c>
      <c r="V72" s="22">
        <v>0.972648</v>
      </c>
      <c r="W72" s="25">
        <v>0.919599</v>
      </c>
      <c r="X72" s="22">
        <v>234</v>
      </c>
      <c r="Y72" s="22">
        <v>277.5</v>
      </c>
      <c r="Z72" s="22">
        <v>0</v>
      </c>
      <c r="AA72" s="22">
        <v>0.737265</v>
      </c>
      <c r="AB72" s="22">
        <v>184.653846</v>
      </c>
      <c r="AC72" s="34" t="s">
        <v>0</v>
      </c>
      <c r="AD72" s="34" t="s">
        <v>0</v>
      </c>
      <c r="AE72" s="34" t="s">
        <v>0</v>
      </c>
      <c r="AF72" s="34" t="s">
        <v>0</v>
      </c>
      <c r="AG72" s="34" t="s">
        <v>0</v>
      </c>
      <c r="AH72" s="34" t="s">
        <v>0</v>
      </c>
      <c r="AI72" s="34" t="s">
        <v>0</v>
      </c>
      <c r="AJ72" s="34" t="s">
        <v>0</v>
      </c>
      <c r="AK72" s="34" t="s">
        <v>0</v>
      </c>
    </row>
    <row r="73" spans="1:37">
      <c r="A73" s="27"/>
      <c r="B73" s="22" t="s">
        <v>68</v>
      </c>
      <c r="C73" s="22" t="s">
        <v>69</v>
      </c>
      <c r="D73" s="22">
        <v>0.992306</v>
      </c>
      <c r="E73" s="22">
        <v>0.877528</v>
      </c>
      <c r="F73" s="22">
        <v>0.011377</v>
      </c>
      <c r="G73" s="22">
        <v>0.022456</v>
      </c>
      <c r="H73" s="22">
        <v>0.869855</v>
      </c>
      <c r="I73" s="22">
        <v>1</v>
      </c>
      <c r="J73" s="22">
        <v>0.927592</v>
      </c>
      <c r="K73" s="22">
        <v>0.001293</v>
      </c>
      <c r="L73" s="22">
        <v>0.869855</v>
      </c>
      <c r="M73" s="22">
        <v>0.200193</v>
      </c>
      <c r="N73" s="22">
        <v>0.32487</v>
      </c>
      <c r="O73" s="22">
        <v>0.883353</v>
      </c>
      <c r="P73" s="22">
        <v>0.967673</v>
      </c>
      <c r="Q73" s="22">
        <v>0.92245</v>
      </c>
      <c r="R73" s="22">
        <v>0.854851</v>
      </c>
      <c r="S73" s="22">
        <v>0.503374</v>
      </c>
      <c r="T73" s="22">
        <v>0.99043</v>
      </c>
      <c r="U73" s="22">
        <v>0.96269</v>
      </c>
      <c r="V73" s="22">
        <v>0.973456</v>
      </c>
      <c r="W73" s="25">
        <v>0.916606</v>
      </c>
      <c r="X73" s="22">
        <v>236</v>
      </c>
      <c r="Y73" s="22">
        <v>278.5</v>
      </c>
      <c r="Z73" s="22">
        <v>0</v>
      </c>
      <c r="AA73" s="22">
        <v>1.058754</v>
      </c>
      <c r="AB73" s="22">
        <v>142.563187</v>
      </c>
      <c r="AC73" s="34" t="s">
        <v>0</v>
      </c>
      <c r="AD73" s="34" t="s">
        <v>0</v>
      </c>
      <c r="AE73" s="34" t="s">
        <v>0</v>
      </c>
      <c r="AF73" s="34" t="s">
        <v>0</v>
      </c>
      <c r="AG73" s="34" t="s">
        <v>0</v>
      </c>
      <c r="AH73" s="34" t="s">
        <v>0</v>
      </c>
      <c r="AI73" s="34" t="s">
        <v>0</v>
      </c>
      <c r="AJ73" s="34" t="s">
        <v>0</v>
      </c>
      <c r="AK73" s="34" t="s">
        <v>0</v>
      </c>
    </row>
    <row r="74" spans="1:37">
      <c r="A74" s="27"/>
      <c r="B74" s="27"/>
      <c r="C74" s="22" t="s">
        <v>70</v>
      </c>
      <c r="D74" s="22">
        <v>0.987751</v>
      </c>
      <c r="E74" s="22">
        <v>0.776387</v>
      </c>
      <c r="F74" s="22">
        <v>0.011314</v>
      </c>
      <c r="G74" s="22">
        <v>0.022302</v>
      </c>
      <c r="H74" s="22">
        <v>0.804028</v>
      </c>
      <c r="I74" s="22">
        <v>1</v>
      </c>
      <c r="J74" s="22">
        <v>0.883459</v>
      </c>
      <c r="K74" s="22">
        <v>0.001954</v>
      </c>
      <c r="L74" s="22">
        <v>0.804028</v>
      </c>
      <c r="M74" s="22">
        <v>0.20034</v>
      </c>
      <c r="N74" s="22">
        <v>0.318869</v>
      </c>
      <c r="O74" s="22">
        <v>0.78507</v>
      </c>
      <c r="P74" s="22">
        <v>0.931015</v>
      </c>
      <c r="Q74" s="22">
        <v>0.846998</v>
      </c>
      <c r="R74" s="22">
        <v>0.834125</v>
      </c>
      <c r="S74" s="22">
        <v>0.445111</v>
      </c>
      <c r="T74" s="22">
        <v>0.989241</v>
      </c>
      <c r="U74" s="22">
        <v>0.956727</v>
      </c>
      <c r="V74" s="22">
        <v>0.96983</v>
      </c>
      <c r="W74" s="25">
        <v>0.902007</v>
      </c>
      <c r="X74" s="22">
        <v>236</v>
      </c>
      <c r="Y74" s="22">
        <v>172</v>
      </c>
      <c r="Z74" s="22">
        <v>0</v>
      </c>
      <c r="AA74" s="22">
        <v>0.895102</v>
      </c>
      <c r="AB74" s="22">
        <v>169.983083</v>
      </c>
      <c r="AC74" s="34" t="s">
        <v>0</v>
      </c>
      <c r="AD74" s="34" t="s">
        <v>0</v>
      </c>
      <c r="AE74" s="34" t="s">
        <v>0</v>
      </c>
      <c r="AF74" s="34" t="s">
        <v>0</v>
      </c>
      <c r="AG74" s="34" t="s">
        <v>0</v>
      </c>
      <c r="AH74" s="34" t="s">
        <v>0</v>
      </c>
      <c r="AI74" s="34" t="s">
        <v>0</v>
      </c>
      <c r="AJ74" s="34" t="s">
        <v>0</v>
      </c>
      <c r="AK74" s="34" t="s">
        <v>0</v>
      </c>
    </row>
    <row r="75" spans="1:37">
      <c r="A75" s="27"/>
      <c r="B75" s="27"/>
      <c r="C75" s="22" t="s">
        <v>71</v>
      </c>
      <c r="D75" s="22">
        <v>0.992576</v>
      </c>
      <c r="E75" s="22">
        <v>0.84512</v>
      </c>
      <c r="F75" s="22">
        <v>0.00991</v>
      </c>
      <c r="G75" s="22">
        <v>0.019582</v>
      </c>
      <c r="H75" s="22">
        <v>0.841855</v>
      </c>
      <c r="I75" s="22">
        <v>1</v>
      </c>
      <c r="J75" s="22">
        <v>0.910174</v>
      </c>
      <c r="K75" s="22">
        <v>0.001324</v>
      </c>
      <c r="L75" s="22">
        <v>0.841855</v>
      </c>
      <c r="M75" s="22">
        <v>0.200205</v>
      </c>
      <c r="N75" s="22">
        <v>0.322592</v>
      </c>
      <c r="O75" s="22">
        <v>0.851046</v>
      </c>
      <c r="P75" s="22">
        <v>0.965828</v>
      </c>
      <c r="Q75" s="22">
        <v>0.901635</v>
      </c>
      <c r="R75" s="22">
        <v>0.854522</v>
      </c>
      <c r="S75" s="22">
        <v>0.52219</v>
      </c>
      <c r="T75" s="22">
        <v>0.989748</v>
      </c>
      <c r="U75" s="22">
        <v>0.962048</v>
      </c>
      <c r="V75" s="22">
        <v>0.971924</v>
      </c>
      <c r="W75" s="25">
        <v>0.916013</v>
      </c>
      <c r="X75" s="22">
        <v>237</v>
      </c>
      <c r="Y75" s="22">
        <v>280.5</v>
      </c>
      <c r="Z75" s="22">
        <v>0</v>
      </c>
      <c r="AA75" s="22">
        <v>0.893394</v>
      </c>
      <c r="AB75" s="22">
        <v>159.066667</v>
      </c>
      <c r="AC75" s="34" t="s">
        <v>0</v>
      </c>
      <c r="AD75" s="34" t="s">
        <v>0</v>
      </c>
      <c r="AE75" s="34" t="s">
        <v>0</v>
      </c>
      <c r="AF75" s="34" t="s">
        <v>0</v>
      </c>
      <c r="AG75" s="34" t="s">
        <v>0</v>
      </c>
      <c r="AH75" s="34" t="s">
        <v>0</v>
      </c>
      <c r="AI75" s="34" t="s">
        <v>0</v>
      </c>
      <c r="AJ75" s="34" t="s">
        <v>0</v>
      </c>
      <c r="AK75" s="34" t="s">
        <v>0</v>
      </c>
    </row>
    <row r="76" spans="1:37">
      <c r="A76" s="27"/>
      <c r="B76" s="28"/>
      <c r="C76" s="22" t="s">
        <v>72</v>
      </c>
      <c r="D76" s="22">
        <v>0.994344</v>
      </c>
      <c r="E76" s="22">
        <v>0.816971</v>
      </c>
      <c r="F76" s="22">
        <v>0.01164</v>
      </c>
      <c r="G76" s="22">
        <v>0.022938</v>
      </c>
      <c r="H76" s="22">
        <v>0.834207</v>
      </c>
      <c r="I76" s="22">
        <v>1</v>
      </c>
      <c r="J76" s="22">
        <v>0.90493</v>
      </c>
      <c r="K76" s="22">
        <v>0.001555</v>
      </c>
      <c r="L76" s="22">
        <v>0.834207</v>
      </c>
      <c r="M76" s="22">
        <v>0.200217</v>
      </c>
      <c r="N76" s="22">
        <v>0.321865</v>
      </c>
      <c r="O76" s="22">
        <v>0.827191</v>
      </c>
      <c r="P76" s="22">
        <v>0.96229</v>
      </c>
      <c r="Q76" s="22">
        <v>0.888509</v>
      </c>
      <c r="R76" s="22">
        <v>0.859818</v>
      </c>
      <c r="S76" s="22">
        <v>0.537179</v>
      </c>
      <c r="T76" s="22">
        <v>0.990273</v>
      </c>
      <c r="U76" s="22">
        <v>0.962751</v>
      </c>
      <c r="V76" s="22">
        <v>0.973176</v>
      </c>
      <c r="W76" s="25">
        <v>0.917614</v>
      </c>
      <c r="X76" s="22">
        <v>186</v>
      </c>
      <c r="Y76" s="22">
        <v>255</v>
      </c>
      <c r="Z76" s="22">
        <v>0</v>
      </c>
      <c r="AA76" s="22">
        <v>0.684653</v>
      </c>
      <c r="AB76" s="22">
        <v>182.948052</v>
      </c>
      <c r="AC76" s="34" t="s">
        <v>0</v>
      </c>
      <c r="AD76" s="34" t="s">
        <v>0</v>
      </c>
      <c r="AE76" s="34" t="s">
        <v>0</v>
      </c>
      <c r="AF76" s="34" t="s">
        <v>0</v>
      </c>
      <c r="AG76" s="34" t="s">
        <v>0</v>
      </c>
      <c r="AH76" s="34" t="s">
        <v>0</v>
      </c>
      <c r="AI76" s="34" t="s">
        <v>0</v>
      </c>
      <c r="AJ76" s="34" t="s">
        <v>0</v>
      </c>
      <c r="AK76" s="34" t="s">
        <v>0</v>
      </c>
    </row>
    <row r="77" spans="1:37">
      <c r="A77" s="28"/>
      <c r="B77" s="22" t="s">
        <v>73</v>
      </c>
      <c r="C77" s="22" t="s">
        <v>74</v>
      </c>
      <c r="D77" s="22">
        <v>1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2">
        <v>0</v>
      </c>
      <c r="O77" s="22">
        <v>0.056241</v>
      </c>
      <c r="P77" s="22">
        <v>0.135725</v>
      </c>
      <c r="Q77" s="22">
        <v>0.079528</v>
      </c>
      <c r="R77" s="22">
        <v>0.756547</v>
      </c>
      <c r="S77" s="22">
        <v>0.263728</v>
      </c>
      <c r="T77" s="22">
        <v>0.983049</v>
      </c>
      <c r="U77" s="22">
        <v>0.94428</v>
      </c>
      <c r="V77" s="22">
        <v>0.955388</v>
      </c>
      <c r="W77" s="25">
        <v>0.872067</v>
      </c>
      <c r="X77" s="22" t="s">
        <v>0</v>
      </c>
      <c r="Y77" s="22" t="s">
        <v>0</v>
      </c>
      <c r="Z77" s="22">
        <v>0</v>
      </c>
      <c r="AA77" s="22">
        <v>0</v>
      </c>
      <c r="AB77" s="22" t="s">
        <v>0</v>
      </c>
      <c r="AC77" s="34" t="s">
        <v>0</v>
      </c>
      <c r="AD77" s="34" t="s">
        <v>0</v>
      </c>
      <c r="AE77" s="34" t="s">
        <v>0</v>
      </c>
      <c r="AF77" s="34" t="s">
        <v>0</v>
      </c>
      <c r="AG77" s="34" t="s">
        <v>0</v>
      </c>
      <c r="AH77" s="34" t="s">
        <v>0</v>
      </c>
      <c r="AI77" s="34" t="s">
        <v>0</v>
      </c>
      <c r="AJ77" s="34" t="s">
        <v>0</v>
      </c>
      <c r="AK77" s="34" t="s">
        <v>0</v>
      </c>
    </row>
    <row r="78" spans="1:37">
      <c r="A78" s="25" t="s">
        <v>0</v>
      </c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</row>
    <row r="79" spans="1:37">
      <c r="A79" s="22" t="s">
        <v>0</v>
      </c>
      <c r="B79" s="22" t="s">
        <v>0</v>
      </c>
      <c r="D79" s="24" t="s">
        <v>7</v>
      </c>
      <c r="E79" s="22" t="s">
        <v>8</v>
      </c>
      <c r="F79" s="22" t="s">
        <v>9</v>
      </c>
      <c r="G79" s="22" t="s">
        <v>10</v>
      </c>
      <c r="H79" s="22" t="s">
        <v>11</v>
      </c>
      <c r="I79" s="22" t="s">
        <v>12</v>
      </c>
      <c r="J79" s="22" t="s">
        <v>13</v>
      </c>
      <c r="K79" s="22" t="s">
        <v>14</v>
      </c>
      <c r="L79" s="22" t="s">
        <v>15</v>
      </c>
      <c r="M79" s="22" t="s">
        <v>16</v>
      </c>
      <c r="N79" s="22" t="s">
        <v>17</v>
      </c>
      <c r="O79" s="22" t="s">
        <v>18</v>
      </c>
      <c r="P79" s="22" t="s">
        <v>19</v>
      </c>
      <c r="Q79" s="22" t="s">
        <v>20</v>
      </c>
      <c r="R79" s="22" t="s">
        <v>21</v>
      </c>
      <c r="S79" s="22" t="s">
        <v>22</v>
      </c>
      <c r="T79" s="22" t="s">
        <v>23</v>
      </c>
      <c r="U79" s="22" t="s">
        <v>24</v>
      </c>
      <c r="V79" s="22" t="s">
        <v>25</v>
      </c>
      <c r="W79" s="25" t="s">
        <v>26</v>
      </c>
      <c r="X79" s="22" t="s">
        <v>27</v>
      </c>
      <c r="Y79" s="22" t="s">
        <v>28</v>
      </c>
      <c r="Z79" s="22" t="s">
        <v>29</v>
      </c>
      <c r="AA79" s="24" t="s">
        <v>30</v>
      </c>
      <c r="AB79" s="24" t="s">
        <v>31</v>
      </c>
      <c r="AC79" s="34" t="s">
        <v>0</v>
      </c>
      <c r="AD79" s="34" t="s">
        <v>0</v>
      </c>
      <c r="AE79" s="34" t="s">
        <v>0</v>
      </c>
      <c r="AF79" s="34" t="s">
        <v>0</v>
      </c>
      <c r="AG79" s="34" t="s">
        <v>0</v>
      </c>
      <c r="AH79" s="34" t="s">
        <v>0</v>
      </c>
      <c r="AI79" s="34" t="s">
        <v>0</v>
      </c>
      <c r="AJ79" s="34" t="s">
        <v>0</v>
      </c>
      <c r="AK79" s="34" t="s">
        <v>0</v>
      </c>
    </row>
    <row r="80" spans="1:37">
      <c r="A80" s="22" t="s">
        <v>99</v>
      </c>
      <c r="B80" s="22" t="s">
        <v>33</v>
      </c>
      <c r="C80" s="22" t="s">
        <v>34</v>
      </c>
      <c r="D80" s="22">
        <v>0.995952</v>
      </c>
      <c r="E80" s="22">
        <v>0.309476</v>
      </c>
      <c r="F80" s="22">
        <v>0.041343</v>
      </c>
      <c r="G80" s="22">
        <v>0.067775</v>
      </c>
      <c r="H80" s="22">
        <v>0.355263</v>
      </c>
      <c r="I80" s="22">
        <v>0.375</v>
      </c>
      <c r="J80" s="22">
        <v>0.364286</v>
      </c>
      <c r="K80" s="22">
        <v>0.021833</v>
      </c>
      <c r="L80" s="22">
        <v>0.355263</v>
      </c>
      <c r="M80" s="22">
        <v>0.076194</v>
      </c>
      <c r="N80" s="22">
        <v>0.125385</v>
      </c>
      <c r="O80" s="22">
        <v>0.312266</v>
      </c>
      <c r="P80" s="22">
        <v>0.306112</v>
      </c>
      <c r="Q80" s="22">
        <v>0.296991</v>
      </c>
      <c r="R80" s="22">
        <v>0.719813</v>
      </c>
      <c r="S80" s="22">
        <v>0.535859</v>
      </c>
      <c r="T80" s="22">
        <v>0.874402</v>
      </c>
      <c r="U80" s="22">
        <v>0.846534</v>
      </c>
      <c r="V80" s="22">
        <v>0.863804</v>
      </c>
      <c r="W80" s="25">
        <v>0.830568</v>
      </c>
      <c r="X80" s="22">
        <v>132</v>
      </c>
      <c r="Y80" s="22">
        <v>363.25</v>
      </c>
      <c r="Z80" s="22">
        <v>0</v>
      </c>
      <c r="AA80" s="22">
        <v>0.044869</v>
      </c>
      <c r="AB80" s="22">
        <v>748</v>
      </c>
      <c r="AC80" s="34" t="s">
        <v>0</v>
      </c>
      <c r="AD80" s="34" t="s">
        <v>0</v>
      </c>
      <c r="AE80" s="34" t="s">
        <v>0</v>
      </c>
      <c r="AF80" s="34" t="s">
        <v>0</v>
      </c>
      <c r="AG80" s="34" t="s">
        <v>0</v>
      </c>
      <c r="AH80" s="34" t="s">
        <v>0</v>
      </c>
      <c r="AI80" s="34" t="s">
        <v>0</v>
      </c>
      <c r="AJ80" s="34" t="s">
        <v>0</v>
      </c>
      <c r="AK80" s="34" t="s">
        <v>0</v>
      </c>
    </row>
    <row r="81" spans="1:37">
      <c r="A81" s="27"/>
      <c r="B81" s="27"/>
      <c r="C81" s="22" t="s">
        <v>35</v>
      </c>
      <c r="D81" s="22">
        <v>0.99275</v>
      </c>
      <c r="E81" s="22">
        <v>0.260076</v>
      </c>
      <c r="F81" s="22">
        <v>0.003885</v>
      </c>
      <c r="G81" s="22">
        <v>0.007554</v>
      </c>
      <c r="H81" s="22">
        <v>0.292488</v>
      </c>
      <c r="I81" s="22">
        <v>0.375</v>
      </c>
      <c r="J81" s="22">
        <v>0.32178</v>
      </c>
      <c r="K81" s="22">
        <v>0.002128</v>
      </c>
      <c r="L81" s="22">
        <v>0.292488</v>
      </c>
      <c r="M81" s="22">
        <v>0.075464</v>
      </c>
      <c r="N81" s="22">
        <v>0.118155</v>
      </c>
      <c r="O81" s="22">
        <v>0.266746</v>
      </c>
      <c r="P81" s="22">
        <v>0.272179</v>
      </c>
      <c r="Q81" s="22">
        <v>0.24534</v>
      </c>
      <c r="R81" s="22">
        <v>0.674531</v>
      </c>
      <c r="S81" s="22">
        <v>0.380136</v>
      </c>
      <c r="T81" s="22">
        <v>0.856241</v>
      </c>
      <c r="U81" s="22">
        <v>0.810115</v>
      </c>
      <c r="V81" s="22">
        <v>0.847621</v>
      </c>
      <c r="W81" s="25">
        <v>0.7901</v>
      </c>
      <c r="X81" s="22" t="s">
        <v>0</v>
      </c>
      <c r="Y81" s="22">
        <v>1210.75</v>
      </c>
      <c r="Z81" s="22">
        <v>0</v>
      </c>
      <c r="AA81" s="22">
        <v>0.534143</v>
      </c>
      <c r="AB81" s="22">
        <v>61.224567</v>
      </c>
      <c r="AC81" s="34" t="s">
        <v>0</v>
      </c>
      <c r="AD81" s="34" t="s">
        <v>0</v>
      </c>
      <c r="AE81" s="34" t="s">
        <v>0</v>
      </c>
      <c r="AF81" s="34" t="s">
        <v>0</v>
      </c>
      <c r="AG81" s="34" t="s">
        <v>0</v>
      </c>
      <c r="AH81" s="34" t="s">
        <v>0</v>
      </c>
      <c r="AI81" s="34" t="s">
        <v>0</v>
      </c>
      <c r="AJ81" s="34" t="s">
        <v>0</v>
      </c>
      <c r="AK81" s="34" t="s">
        <v>0</v>
      </c>
    </row>
    <row r="82" spans="1:37">
      <c r="A82" s="27"/>
      <c r="B82" s="28"/>
      <c r="C82" s="22" t="s">
        <v>36</v>
      </c>
      <c r="D82" s="22">
        <v>0.739953</v>
      </c>
      <c r="E82" s="22">
        <v>0.70577</v>
      </c>
      <c r="F82" s="22">
        <v>0.181253</v>
      </c>
      <c r="G82" s="22">
        <v>0.2226</v>
      </c>
      <c r="H82" s="22">
        <v>0.560138</v>
      </c>
      <c r="I82" s="22">
        <v>1</v>
      </c>
      <c r="J82" s="22">
        <v>0.648244</v>
      </c>
      <c r="K82" s="22">
        <v>0.092792</v>
      </c>
      <c r="L82" s="22">
        <v>0.558891</v>
      </c>
      <c r="M82" s="22">
        <v>0.247594</v>
      </c>
      <c r="N82" s="22">
        <v>0.275139</v>
      </c>
      <c r="O82" s="22">
        <v>0.763712</v>
      </c>
      <c r="P82" s="22">
        <v>0.95885</v>
      </c>
      <c r="Q82" s="22">
        <v>0.839841</v>
      </c>
      <c r="R82" s="22">
        <v>0.707825</v>
      </c>
      <c r="S82" s="22">
        <v>0.444967</v>
      </c>
      <c r="T82" s="22">
        <v>0.886302</v>
      </c>
      <c r="U82" s="22">
        <v>0.850139</v>
      </c>
      <c r="V82" s="22">
        <v>0.871951</v>
      </c>
      <c r="W82" s="25">
        <v>0.820776</v>
      </c>
      <c r="X82" s="22">
        <v>249.667</v>
      </c>
      <c r="Y82" s="22">
        <v>41</v>
      </c>
      <c r="Z82" s="22">
        <v>0.25</v>
      </c>
      <c r="AA82" s="22">
        <v>2.046781</v>
      </c>
      <c r="AB82" s="22">
        <v>79.684772</v>
      </c>
      <c r="AC82" s="34" t="s">
        <v>0</v>
      </c>
      <c r="AD82" s="34" t="s">
        <v>0</v>
      </c>
      <c r="AE82" s="34" t="s">
        <v>0</v>
      </c>
      <c r="AF82" s="34" t="s">
        <v>0</v>
      </c>
      <c r="AG82" s="34" t="s">
        <v>0</v>
      </c>
      <c r="AH82" s="34" t="s">
        <v>0</v>
      </c>
      <c r="AI82" s="34" t="s">
        <v>0</v>
      </c>
      <c r="AJ82" s="34" t="s">
        <v>0</v>
      </c>
      <c r="AK82" s="34" t="s">
        <v>0</v>
      </c>
    </row>
    <row r="83" spans="1:37">
      <c r="A83" s="27"/>
      <c r="B83" s="22" t="s">
        <v>37</v>
      </c>
      <c r="C83" s="22" t="s">
        <v>38</v>
      </c>
      <c r="D83" s="22">
        <v>0.995157</v>
      </c>
      <c r="E83" s="22">
        <v>0.306227</v>
      </c>
      <c r="F83" s="22">
        <v>0.020907</v>
      </c>
      <c r="G83" s="22">
        <v>0.037968</v>
      </c>
      <c r="H83" s="22">
        <v>0.305357</v>
      </c>
      <c r="I83" s="22">
        <v>0.375</v>
      </c>
      <c r="J83" s="22">
        <v>0.333937</v>
      </c>
      <c r="K83" s="22">
        <v>0.016925</v>
      </c>
      <c r="L83" s="22">
        <v>0.305357</v>
      </c>
      <c r="M83" s="22">
        <v>0.076314</v>
      </c>
      <c r="N83" s="22">
        <v>0.121509</v>
      </c>
      <c r="O83" s="22">
        <v>0.308518</v>
      </c>
      <c r="P83" s="22">
        <v>0.298866</v>
      </c>
      <c r="Q83" s="22">
        <v>0.298179</v>
      </c>
      <c r="R83" s="22">
        <v>0.702429</v>
      </c>
      <c r="S83" s="22">
        <v>0.503441</v>
      </c>
      <c r="T83" s="22">
        <v>0.854775</v>
      </c>
      <c r="U83" s="22">
        <v>0.833589</v>
      </c>
      <c r="V83" s="22">
        <v>0.849455</v>
      </c>
      <c r="W83" s="25">
        <v>0.818235</v>
      </c>
      <c r="X83" s="22">
        <v>132</v>
      </c>
      <c r="Y83" s="22">
        <v>388</v>
      </c>
      <c r="Z83" s="22">
        <v>0</v>
      </c>
      <c r="AA83" s="22">
        <v>0.107633</v>
      </c>
      <c r="AB83" s="22">
        <v>109.1875</v>
      </c>
      <c r="AC83" s="34" t="s">
        <v>0</v>
      </c>
      <c r="AD83" s="34" t="s">
        <v>0</v>
      </c>
      <c r="AE83" s="34" t="s">
        <v>0</v>
      </c>
      <c r="AF83" s="34" t="s">
        <v>0</v>
      </c>
      <c r="AG83" s="34" t="s">
        <v>0</v>
      </c>
      <c r="AH83" s="34" t="s">
        <v>0</v>
      </c>
      <c r="AI83" s="34" t="s">
        <v>0</v>
      </c>
      <c r="AJ83" s="34" t="s">
        <v>0</v>
      </c>
      <c r="AK83" s="34" t="s">
        <v>0</v>
      </c>
    </row>
    <row r="84" spans="1:37">
      <c r="A84" s="27"/>
      <c r="B84" s="27"/>
      <c r="C84" s="22" t="s">
        <v>39</v>
      </c>
      <c r="D84" s="22">
        <v>0.99667</v>
      </c>
      <c r="E84" s="22">
        <v>0.348011</v>
      </c>
      <c r="F84" s="22">
        <v>0.008421</v>
      </c>
      <c r="G84" s="22">
        <v>0.016188</v>
      </c>
      <c r="H84" s="22">
        <v>0.304545</v>
      </c>
      <c r="I84" s="22">
        <v>0.375</v>
      </c>
      <c r="J84" s="22">
        <v>0.333333</v>
      </c>
      <c r="K84" s="22">
        <v>0.005604</v>
      </c>
      <c r="L84" s="22">
        <v>0.304545</v>
      </c>
      <c r="M84" s="22">
        <v>0.075562</v>
      </c>
      <c r="N84" s="22">
        <v>0.12044</v>
      </c>
      <c r="O84" s="22">
        <v>0.348659</v>
      </c>
      <c r="P84" s="22">
        <v>0.259219</v>
      </c>
      <c r="Q84" s="22">
        <v>0.295411</v>
      </c>
      <c r="R84" s="22">
        <v>0.672648</v>
      </c>
      <c r="S84" s="22">
        <v>0.415364</v>
      </c>
      <c r="T84" s="22">
        <v>0.843918</v>
      </c>
      <c r="U84" s="22">
        <v>0.80993</v>
      </c>
      <c r="V84" s="22">
        <v>0.839647</v>
      </c>
      <c r="W84" s="25">
        <v>0.792951</v>
      </c>
      <c r="X84" s="22">
        <v>124</v>
      </c>
      <c r="Y84" s="22">
        <v>1201.5</v>
      </c>
      <c r="Z84" s="22">
        <v>0</v>
      </c>
      <c r="AA84" s="22">
        <v>0.066768</v>
      </c>
      <c r="AB84" s="22">
        <v>195.6</v>
      </c>
      <c r="AC84" s="34" t="s">
        <v>0</v>
      </c>
      <c r="AD84" s="34" t="s">
        <v>0</v>
      </c>
      <c r="AE84" s="34" t="s">
        <v>0</v>
      </c>
      <c r="AF84" s="34" t="s">
        <v>0</v>
      </c>
      <c r="AG84" s="34" t="s">
        <v>0</v>
      </c>
      <c r="AH84" s="34" t="s">
        <v>0</v>
      </c>
      <c r="AI84" s="34" t="s">
        <v>0</v>
      </c>
      <c r="AJ84" s="34" t="s">
        <v>0</v>
      </c>
      <c r="AK84" s="34" t="s">
        <v>0</v>
      </c>
    </row>
    <row r="85" spans="1:37">
      <c r="A85" s="27"/>
      <c r="B85" s="27"/>
      <c r="C85" s="22" t="s">
        <v>40</v>
      </c>
      <c r="D85" s="22">
        <v>0.997795</v>
      </c>
      <c r="E85" s="22">
        <v>0.221082</v>
      </c>
      <c r="F85" s="22">
        <v>0.006928</v>
      </c>
      <c r="G85" s="22">
        <v>0.013363</v>
      </c>
      <c r="H85" s="22">
        <v>0.225</v>
      </c>
      <c r="I85" s="22">
        <v>0.25</v>
      </c>
      <c r="J85" s="22">
        <v>0.236111</v>
      </c>
      <c r="K85" s="22">
        <v>0.011637</v>
      </c>
      <c r="L85" s="22">
        <v>0.225</v>
      </c>
      <c r="M85" s="22">
        <v>0.054618</v>
      </c>
      <c r="N85" s="22">
        <v>0.087879</v>
      </c>
      <c r="O85" s="22">
        <v>0.222115</v>
      </c>
      <c r="P85" s="22">
        <v>0.180567</v>
      </c>
      <c r="Q85" s="22">
        <v>0.194295</v>
      </c>
      <c r="R85" s="22">
        <v>0.651052</v>
      </c>
      <c r="S85" s="22">
        <v>0.353357</v>
      </c>
      <c r="T85" s="22">
        <v>0.83121</v>
      </c>
      <c r="U85" s="22">
        <v>0.773278</v>
      </c>
      <c r="V85" s="22">
        <v>0.82399</v>
      </c>
      <c r="W85" s="25">
        <v>0.752799</v>
      </c>
      <c r="X85" s="22">
        <v>144</v>
      </c>
      <c r="Y85" s="22">
        <v>1196</v>
      </c>
      <c r="Z85" s="22">
        <v>0</v>
      </c>
      <c r="AA85" s="22">
        <v>0.006754</v>
      </c>
      <c r="AB85" s="22" t="s">
        <v>0</v>
      </c>
      <c r="AC85" s="34" t="s">
        <v>0</v>
      </c>
      <c r="AD85" s="34" t="s">
        <v>0</v>
      </c>
      <c r="AE85" s="34" t="s">
        <v>0</v>
      </c>
      <c r="AF85" s="34" t="s">
        <v>0</v>
      </c>
      <c r="AG85" s="34" t="s">
        <v>0</v>
      </c>
      <c r="AH85" s="34" t="s">
        <v>0</v>
      </c>
      <c r="AI85" s="34" t="s">
        <v>0</v>
      </c>
      <c r="AJ85" s="34" t="s">
        <v>0</v>
      </c>
      <c r="AK85" s="34" t="s">
        <v>0</v>
      </c>
    </row>
    <row r="86" spans="1:37">
      <c r="A86" s="27"/>
      <c r="B86" s="27"/>
      <c r="C86" s="22" t="s">
        <v>41</v>
      </c>
      <c r="D86" s="22">
        <v>0.75466</v>
      </c>
      <c r="E86" s="22">
        <v>0.570912</v>
      </c>
      <c r="F86" s="22">
        <v>0.096865</v>
      </c>
      <c r="G86" s="22">
        <v>0.089645</v>
      </c>
      <c r="H86" s="22">
        <v>0.612031</v>
      </c>
      <c r="I86" s="22">
        <v>1</v>
      </c>
      <c r="J86" s="22">
        <v>0.699329</v>
      </c>
      <c r="K86" s="22">
        <v>0.065602</v>
      </c>
      <c r="L86" s="22">
        <v>0.599203</v>
      </c>
      <c r="M86" s="22">
        <v>0.231884</v>
      </c>
      <c r="N86" s="22">
        <v>0.292377</v>
      </c>
      <c r="O86" s="22">
        <v>0.663601</v>
      </c>
      <c r="P86" s="22">
        <v>0.884304</v>
      </c>
      <c r="Q86" s="22">
        <v>0.72968</v>
      </c>
      <c r="R86" s="22">
        <v>0.662947</v>
      </c>
      <c r="S86" s="22">
        <v>0.414857</v>
      </c>
      <c r="T86" s="22">
        <v>0.855475</v>
      </c>
      <c r="U86" s="22">
        <v>0.831523</v>
      </c>
      <c r="V86" s="22">
        <v>0.845569</v>
      </c>
      <c r="W86" s="25">
        <v>0.808603</v>
      </c>
      <c r="X86" s="22">
        <v>204</v>
      </c>
      <c r="Y86" s="22">
        <v>118.875</v>
      </c>
      <c r="Z86" s="22">
        <v>0.25</v>
      </c>
      <c r="AA86" s="22">
        <v>1.104602</v>
      </c>
      <c r="AB86" s="22">
        <v>130.585557</v>
      </c>
      <c r="AC86" s="34" t="s">
        <v>0</v>
      </c>
      <c r="AD86" s="34" t="s">
        <v>0</v>
      </c>
      <c r="AE86" s="34" t="s">
        <v>0</v>
      </c>
      <c r="AF86" s="34" t="s">
        <v>0</v>
      </c>
      <c r="AG86" s="34" t="s">
        <v>0</v>
      </c>
      <c r="AH86" s="34" t="s">
        <v>0</v>
      </c>
      <c r="AI86" s="34" t="s">
        <v>0</v>
      </c>
      <c r="AJ86" s="34" t="s">
        <v>0</v>
      </c>
      <c r="AK86" s="34" t="s">
        <v>0</v>
      </c>
    </row>
    <row r="87" spans="1:37">
      <c r="A87" s="27"/>
      <c r="B87" s="27"/>
      <c r="C87" s="22" t="s">
        <v>42</v>
      </c>
      <c r="D87" s="22">
        <v>0.996115</v>
      </c>
      <c r="E87" s="22">
        <v>0.3125</v>
      </c>
      <c r="F87" s="22">
        <v>0.016652</v>
      </c>
      <c r="G87" s="22">
        <v>0.030653</v>
      </c>
      <c r="H87" s="22">
        <v>0.3125</v>
      </c>
      <c r="I87" s="22">
        <v>0.375</v>
      </c>
      <c r="J87" s="22">
        <v>0.333333</v>
      </c>
      <c r="K87" s="22">
        <v>0.014943</v>
      </c>
      <c r="L87" s="22">
        <v>0.3125</v>
      </c>
      <c r="M87" s="22">
        <v>0.076259</v>
      </c>
      <c r="N87" s="22">
        <v>0.120761</v>
      </c>
      <c r="O87" s="22">
        <v>0.315156</v>
      </c>
      <c r="P87" s="22">
        <v>0.261329</v>
      </c>
      <c r="Q87" s="22">
        <v>0.278332</v>
      </c>
      <c r="R87" s="22">
        <v>0.771083</v>
      </c>
      <c r="S87" s="22">
        <v>0.61606</v>
      </c>
      <c r="T87" s="22">
        <v>0.911759</v>
      </c>
      <c r="U87" s="22">
        <v>0.885554</v>
      </c>
      <c r="V87" s="22">
        <v>0.901787</v>
      </c>
      <c r="W87" s="25">
        <v>0.87012</v>
      </c>
      <c r="X87" s="22">
        <v>132</v>
      </c>
      <c r="Y87" s="22">
        <v>1010.75</v>
      </c>
      <c r="Z87" s="22">
        <v>0</v>
      </c>
      <c r="AA87" s="22">
        <v>0.04957</v>
      </c>
      <c r="AB87" s="22">
        <v>64.25</v>
      </c>
      <c r="AC87" s="34" t="s">
        <v>0</v>
      </c>
      <c r="AD87" s="34" t="s">
        <v>0</v>
      </c>
      <c r="AE87" s="34" t="s">
        <v>0</v>
      </c>
      <c r="AF87" s="34" t="s">
        <v>0</v>
      </c>
      <c r="AG87" s="34" t="s">
        <v>0</v>
      </c>
      <c r="AH87" s="34" t="s">
        <v>0</v>
      </c>
      <c r="AI87" s="34" t="s">
        <v>0</v>
      </c>
      <c r="AJ87" s="34" t="s">
        <v>0</v>
      </c>
      <c r="AK87" s="34" t="s">
        <v>0</v>
      </c>
    </row>
    <row r="88" spans="1:37">
      <c r="A88" s="27"/>
      <c r="B88" s="27"/>
      <c r="C88" s="22" t="s">
        <v>43</v>
      </c>
      <c r="D88" s="22">
        <v>0.996503</v>
      </c>
      <c r="E88" s="22">
        <v>0.339461</v>
      </c>
      <c r="F88" s="22">
        <v>0.01377</v>
      </c>
      <c r="G88" s="22">
        <v>0.02573</v>
      </c>
      <c r="H88" s="22">
        <v>0.307692</v>
      </c>
      <c r="I88" s="22">
        <v>0.375</v>
      </c>
      <c r="J88" s="22">
        <v>0.328947</v>
      </c>
      <c r="K88" s="22">
        <v>0.011004</v>
      </c>
      <c r="L88" s="22">
        <v>0.307692</v>
      </c>
      <c r="M88" s="22">
        <v>0.07606</v>
      </c>
      <c r="N88" s="22">
        <v>0.119654</v>
      </c>
      <c r="O88" s="22">
        <v>0.340872</v>
      </c>
      <c r="P88" s="22">
        <v>0.264665</v>
      </c>
      <c r="Q88" s="22">
        <v>0.291767</v>
      </c>
      <c r="R88" s="22">
        <v>0.772506</v>
      </c>
      <c r="S88" s="22">
        <v>0.602117</v>
      </c>
      <c r="T88" s="22">
        <v>0.915358</v>
      </c>
      <c r="U88" s="22">
        <v>0.891595</v>
      </c>
      <c r="V88" s="22">
        <v>0.90272</v>
      </c>
      <c r="W88" s="25">
        <v>0.870727</v>
      </c>
      <c r="X88" s="22">
        <v>144</v>
      </c>
      <c r="Y88" s="22">
        <v>1197.75</v>
      </c>
      <c r="Z88" s="22">
        <v>0</v>
      </c>
      <c r="AA88" s="22">
        <v>0.08975</v>
      </c>
      <c r="AB88" s="22">
        <v>180.25</v>
      </c>
      <c r="AC88" s="34" t="s">
        <v>0</v>
      </c>
      <c r="AD88" s="34" t="s">
        <v>0</v>
      </c>
      <c r="AE88" s="34" t="s">
        <v>0</v>
      </c>
      <c r="AF88" s="34" t="s">
        <v>0</v>
      </c>
      <c r="AG88" s="34" t="s">
        <v>0</v>
      </c>
      <c r="AH88" s="34" t="s">
        <v>0</v>
      </c>
      <c r="AI88" s="34" t="s">
        <v>0</v>
      </c>
      <c r="AJ88" s="34" t="s">
        <v>0</v>
      </c>
      <c r="AK88" s="34" t="s">
        <v>0</v>
      </c>
    </row>
    <row r="89" spans="1:37">
      <c r="A89" s="27"/>
      <c r="B89" s="27"/>
      <c r="C89" s="22" t="s">
        <v>44</v>
      </c>
      <c r="D89" s="22">
        <v>0.99008</v>
      </c>
      <c r="E89" s="22">
        <v>0.916553</v>
      </c>
      <c r="F89" s="22">
        <v>0.008222</v>
      </c>
      <c r="G89" s="22">
        <v>0.016284</v>
      </c>
      <c r="H89" s="22">
        <v>0.926973</v>
      </c>
      <c r="I89" s="22">
        <v>1</v>
      </c>
      <c r="J89" s="22">
        <v>0.958486</v>
      </c>
      <c r="K89" s="22">
        <v>0.003349</v>
      </c>
      <c r="L89" s="22">
        <v>0.926973</v>
      </c>
      <c r="M89" s="22">
        <v>0.20124</v>
      </c>
      <c r="N89" s="22">
        <v>0.329864</v>
      </c>
      <c r="O89" s="22">
        <v>0.935683</v>
      </c>
      <c r="P89" s="22">
        <v>0.85296</v>
      </c>
      <c r="Q89" s="22">
        <v>0.888107</v>
      </c>
      <c r="R89" s="22">
        <v>0.670134</v>
      </c>
      <c r="S89" s="22">
        <v>0.432685</v>
      </c>
      <c r="T89" s="22">
        <v>0.860702</v>
      </c>
      <c r="U89" s="22">
        <v>0.828297</v>
      </c>
      <c r="V89" s="22">
        <v>0.849203</v>
      </c>
      <c r="W89" s="25">
        <v>0.802482</v>
      </c>
      <c r="X89" s="22">
        <v>177.5</v>
      </c>
      <c r="Y89" s="22">
        <v>62.75</v>
      </c>
      <c r="Z89" s="22">
        <v>0</v>
      </c>
      <c r="AA89" s="22">
        <v>1.248371</v>
      </c>
      <c r="AB89" s="22">
        <v>135.524963</v>
      </c>
      <c r="AC89" s="34" t="s">
        <v>0</v>
      </c>
      <c r="AD89" s="34" t="s">
        <v>0</v>
      </c>
      <c r="AE89" s="34" t="s">
        <v>0</v>
      </c>
      <c r="AF89" s="34" t="s">
        <v>0</v>
      </c>
      <c r="AG89" s="34" t="s">
        <v>0</v>
      </c>
      <c r="AH89" s="34" t="s">
        <v>0</v>
      </c>
      <c r="AI89" s="34" t="s">
        <v>0</v>
      </c>
      <c r="AJ89" s="34" t="s">
        <v>0</v>
      </c>
      <c r="AK89" s="34" t="s">
        <v>0</v>
      </c>
    </row>
    <row r="90" spans="1:37">
      <c r="A90" s="27"/>
      <c r="B90" s="28"/>
      <c r="C90" s="22" t="s">
        <v>45</v>
      </c>
      <c r="D90" s="22">
        <v>0.997445</v>
      </c>
      <c r="E90" s="22">
        <v>0.349392</v>
      </c>
      <c r="F90" s="22">
        <v>0.007709</v>
      </c>
      <c r="G90" s="22">
        <v>0.014862</v>
      </c>
      <c r="H90" s="22">
        <v>0.329167</v>
      </c>
      <c r="I90" s="22">
        <v>0.375</v>
      </c>
      <c r="J90" s="22">
        <v>0.349747</v>
      </c>
      <c r="K90" s="22">
        <v>0.004537</v>
      </c>
      <c r="L90" s="22">
        <v>0.329167</v>
      </c>
      <c r="M90" s="22">
        <v>0.075411</v>
      </c>
      <c r="N90" s="22">
        <v>0.122535</v>
      </c>
      <c r="O90" s="22">
        <v>0.349874</v>
      </c>
      <c r="P90" s="22">
        <v>0.268004</v>
      </c>
      <c r="Q90" s="22">
        <v>0.300811</v>
      </c>
      <c r="R90" s="22">
        <v>0.716758</v>
      </c>
      <c r="S90" s="22">
        <v>0.564611</v>
      </c>
      <c r="T90" s="22">
        <v>0.887095</v>
      </c>
      <c r="U90" s="22">
        <v>0.862012</v>
      </c>
      <c r="V90" s="22">
        <v>0.876773</v>
      </c>
      <c r="W90" s="25">
        <v>0.845246</v>
      </c>
      <c r="X90" s="22">
        <v>124</v>
      </c>
      <c r="Y90" s="22">
        <v>1201.5</v>
      </c>
      <c r="Z90" s="22">
        <v>0</v>
      </c>
      <c r="AA90" s="22">
        <v>0.093797</v>
      </c>
      <c r="AB90" s="22">
        <v>7.1</v>
      </c>
      <c r="AC90" s="34" t="s">
        <v>0</v>
      </c>
      <c r="AD90" s="34" t="s">
        <v>0</v>
      </c>
      <c r="AE90" s="34" t="s">
        <v>0</v>
      </c>
      <c r="AF90" s="34" t="s">
        <v>0</v>
      </c>
      <c r="AG90" s="34" t="s">
        <v>0</v>
      </c>
      <c r="AH90" s="34" t="s">
        <v>0</v>
      </c>
      <c r="AI90" s="34" t="s">
        <v>0</v>
      </c>
      <c r="AJ90" s="34" t="s">
        <v>0</v>
      </c>
      <c r="AK90" s="34" t="s">
        <v>0</v>
      </c>
    </row>
    <row r="91" spans="1:37">
      <c r="A91" s="27"/>
      <c r="B91" s="30" t="s">
        <v>46</v>
      </c>
      <c r="C91" s="22" t="s">
        <v>47</v>
      </c>
      <c r="D91" s="22">
        <v>0.954819</v>
      </c>
      <c r="E91" s="22">
        <v>0.776783</v>
      </c>
      <c r="F91" s="22">
        <v>0.040413</v>
      </c>
      <c r="G91" s="22">
        <v>0.061096</v>
      </c>
      <c r="H91" s="22">
        <v>0.812981</v>
      </c>
      <c r="I91" s="22">
        <v>1</v>
      </c>
      <c r="J91" s="22">
        <v>0.858803</v>
      </c>
      <c r="K91" s="22">
        <v>0.013228</v>
      </c>
      <c r="L91" s="22">
        <v>0.810635</v>
      </c>
      <c r="M91" s="22">
        <v>0.20192</v>
      </c>
      <c r="N91" s="22">
        <v>0.309474</v>
      </c>
      <c r="O91" s="22">
        <v>0.833008</v>
      </c>
      <c r="P91" s="22">
        <v>0.843972</v>
      </c>
      <c r="Q91" s="22">
        <v>0.807862</v>
      </c>
      <c r="R91" s="22">
        <v>0.658352</v>
      </c>
      <c r="S91" s="22">
        <v>0.430277</v>
      </c>
      <c r="T91" s="22">
        <v>0.869828</v>
      </c>
      <c r="U91" s="22">
        <v>0.841365</v>
      </c>
      <c r="V91" s="22">
        <v>0.859787</v>
      </c>
      <c r="W91" s="25">
        <v>0.819374</v>
      </c>
      <c r="X91" s="22">
        <v>132</v>
      </c>
      <c r="Y91" s="22">
        <v>114.125</v>
      </c>
      <c r="Z91" s="22">
        <v>0</v>
      </c>
      <c r="AA91" s="22">
        <v>2.787633</v>
      </c>
      <c r="AB91" s="22">
        <v>258.15337</v>
      </c>
      <c r="AC91" s="34" t="s">
        <v>0</v>
      </c>
      <c r="AD91" s="34" t="s">
        <v>0</v>
      </c>
      <c r="AE91" s="34" t="s">
        <v>0</v>
      </c>
      <c r="AF91" s="34" t="s">
        <v>0</v>
      </c>
      <c r="AG91" s="34" t="s">
        <v>0</v>
      </c>
      <c r="AH91" s="34" t="s">
        <v>0</v>
      </c>
      <c r="AI91" s="34" t="s">
        <v>0</v>
      </c>
      <c r="AJ91" s="34" t="s">
        <v>0</v>
      </c>
      <c r="AK91" s="34" t="s">
        <v>0</v>
      </c>
    </row>
    <row r="92" spans="1:37">
      <c r="A92" s="27"/>
      <c r="B92" s="27"/>
      <c r="C92" s="22" t="s">
        <v>48</v>
      </c>
      <c r="D92" s="22">
        <v>0.990002</v>
      </c>
      <c r="E92" s="22">
        <v>0.865835</v>
      </c>
      <c r="F92" s="22">
        <v>0.012195</v>
      </c>
      <c r="G92" s="22">
        <v>0.024027</v>
      </c>
      <c r="H92" s="22">
        <v>0.861336</v>
      </c>
      <c r="I92" s="22">
        <v>1</v>
      </c>
      <c r="J92" s="22">
        <v>0.912234</v>
      </c>
      <c r="K92" s="22">
        <v>0.00394</v>
      </c>
      <c r="L92" s="22">
        <v>0.861336</v>
      </c>
      <c r="M92" s="22">
        <v>0.201273</v>
      </c>
      <c r="N92" s="22">
        <v>0.322568</v>
      </c>
      <c r="O92" s="22">
        <v>0.919834</v>
      </c>
      <c r="P92" s="22">
        <v>0.885722</v>
      </c>
      <c r="Q92" s="22">
        <v>0.900553</v>
      </c>
      <c r="R92" s="22">
        <v>0.674856</v>
      </c>
      <c r="S92" s="22">
        <v>0.465886</v>
      </c>
      <c r="T92" s="22">
        <v>0.864949</v>
      </c>
      <c r="U92" s="22">
        <v>0.834886</v>
      </c>
      <c r="V92" s="22">
        <v>0.852243</v>
      </c>
      <c r="W92" s="25">
        <v>0.810796</v>
      </c>
      <c r="X92" s="22">
        <v>252.25</v>
      </c>
      <c r="Y92" s="22">
        <v>61.5</v>
      </c>
      <c r="Z92" s="22">
        <v>0.25</v>
      </c>
      <c r="AA92" s="22">
        <v>1.243335</v>
      </c>
      <c r="AB92" s="22">
        <v>106.73167</v>
      </c>
      <c r="AC92" s="34" t="s">
        <v>0</v>
      </c>
      <c r="AD92" s="34" t="s">
        <v>0</v>
      </c>
      <c r="AE92" s="34" t="s">
        <v>0</v>
      </c>
      <c r="AF92" s="34" t="s">
        <v>0</v>
      </c>
      <c r="AG92" s="34" t="s">
        <v>0</v>
      </c>
      <c r="AH92" s="34" t="s">
        <v>0</v>
      </c>
      <c r="AI92" s="34" t="s">
        <v>0</v>
      </c>
      <c r="AJ92" s="34" t="s">
        <v>0</v>
      </c>
      <c r="AK92" s="34" t="s">
        <v>0</v>
      </c>
    </row>
    <row r="93" spans="1:37">
      <c r="A93" s="27"/>
      <c r="B93" s="27"/>
      <c r="C93" s="22" t="s">
        <v>49</v>
      </c>
      <c r="D93" s="22">
        <v>0.783243</v>
      </c>
      <c r="E93" s="22">
        <v>0.594129</v>
      </c>
      <c r="F93" s="22">
        <v>0.09314</v>
      </c>
      <c r="G93" s="22">
        <v>0.085103</v>
      </c>
      <c r="H93" s="22">
        <v>0.617797</v>
      </c>
      <c r="I93" s="22">
        <v>1</v>
      </c>
      <c r="J93" s="22">
        <v>0.714798</v>
      </c>
      <c r="K93" s="22">
        <v>0.05344</v>
      </c>
      <c r="L93" s="22">
        <v>0.608493</v>
      </c>
      <c r="M93" s="22">
        <v>0.231342</v>
      </c>
      <c r="N93" s="22">
        <v>0.29476</v>
      </c>
      <c r="O93" s="22">
        <v>0.696494</v>
      </c>
      <c r="P93" s="22">
        <v>0.855151</v>
      </c>
      <c r="Q93" s="22">
        <v>0.756187</v>
      </c>
      <c r="R93" s="22">
        <v>0.646426</v>
      </c>
      <c r="S93" s="22">
        <v>0.390882</v>
      </c>
      <c r="T93" s="22">
        <v>0.85326</v>
      </c>
      <c r="U93" s="22">
        <v>0.827752</v>
      </c>
      <c r="V93" s="22">
        <v>0.842112</v>
      </c>
      <c r="W93" s="25">
        <v>0.804029</v>
      </c>
      <c r="X93" s="22">
        <v>202.667</v>
      </c>
      <c r="Y93" s="22">
        <v>292.375</v>
      </c>
      <c r="Z93" s="22">
        <v>0</v>
      </c>
      <c r="AA93" s="22">
        <v>1.056949</v>
      </c>
      <c r="AB93" s="22">
        <v>232.979276</v>
      </c>
      <c r="AC93" s="34" t="s">
        <v>0</v>
      </c>
      <c r="AD93" s="34" t="s">
        <v>0</v>
      </c>
      <c r="AE93" s="34" t="s">
        <v>0</v>
      </c>
      <c r="AF93" s="34" t="s">
        <v>0</v>
      </c>
      <c r="AG93" s="34" t="s">
        <v>0</v>
      </c>
      <c r="AH93" s="34" t="s">
        <v>0</v>
      </c>
      <c r="AI93" s="34" t="s">
        <v>0</v>
      </c>
      <c r="AJ93" s="34" t="s">
        <v>0</v>
      </c>
      <c r="AK93" s="34" t="s">
        <v>0</v>
      </c>
    </row>
    <row r="94" spans="1:37">
      <c r="A94" s="27"/>
      <c r="B94" s="27"/>
      <c r="C94" s="22" t="s">
        <v>50</v>
      </c>
      <c r="D94" s="22">
        <v>0.988745</v>
      </c>
      <c r="E94" s="22">
        <v>0.706697</v>
      </c>
      <c r="F94" s="22">
        <v>0.011769</v>
      </c>
      <c r="G94" s="22">
        <v>0.023085</v>
      </c>
      <c r="H94" s="22">
        <v>0.705566</v>
      </c>
      <c r="I94" s="22">
        <v>1</v>
      </c>
      <c r="J94" s="22">
        <v>0.807892</v>
      </c>
      <c r="K94" s="22">
        <v>0.006311</v>
      </c>
      <c r="L94" s="22">
        <v>0.705566</v>
      </c>
      <c r="M94" s="22">
        <v>0.20168</v>
      </c>
      <c r="N94" s="22">
        <v>0.307532</v>
      </c>
      <c r="O94" s="22">
        <v>0.789715</v>
      </c>
      <c r="P94" s="22">
        <v>0.946412</v>
      </c>
      <c r="Q94" s="22">
        <v>0.858788</v>
      </c>
      <c r="R94" s="22">
        <v>0.710428</v>
      </c>
      <c r="S94" s="22">
        <v>0.519141</v>
      </c>
      <c r="T94" s="22">
        <v>0.854269</v>
      </c>
      <c r="U94" s="22">
        <v>0.807681</v>
      </c>
      <c r="V94" s="22">
        <v>0.850888</v>
      </c>
      <c r="W94" s="25">
        <v>0.799053</v>
      </c>
      <c r="X94" s="22">
        <v>201.333</v>
      </c>
      <c r="Y94" s="22">
        <v>43.75</v>
      </c>
      <c r="Z94" s="22">
        <v>0.25</v>
      </c>
      <c r="AA94" s="22">
        <v>1.357141</v>
      </c>
      <c r="AB94" s="22">
        <v>121.753329</v>
      </c>
      <c r="AC94" s="34" t="s">
        <v>0</v>
      </c>
      <c r="AD94" s="34" t="s">
        <v>0</v>
      </c>
      <c r="AE94" s="34" t="s">
        <v>0</v>
      </c>
      <c r="AF94" s="34" t="s">
        <v>0</v>
      </c>
      <c r="AG94" s="34" t="s">
        <v>0</v>
      </c>
      <c r="AH94" s="34" t="s">
        <v>0</v>
      </c>
      <c r="AI94" s="34" t="s">
        <v>0</v>
      </c>
      <c r="AJ94" s="34" t="s">
        <v>0</v>
      </c>
      <c r="AK94" s="34" t="s">
        <v>0</v>
      </c>
    </row>
    <row r="95" spans="1:37">
      <c r="A95" s="27"/>
      <c r="B95" s="27"/>
      <c r="C95" s="22" t="s">
        <v>51</v>
      </c>
      <c r="D95" s="22">
        <v>0.995103</v>
      </c>
      <c r="E95" s="22">
        <v>0.850276</v>
      </c>
      <c r="F95" s="22">
        <v>0.009438</v>
      </c>
      <c r="G95" s="22">
        <v>0.018294</v>
      </c>
      <c r="H95" s="22">
        <v>0.877363</v>
      </c>
      <c r="I95" s="22">
        <v>1</v>
      </c>
      <c r="J95" s="22">
        <v>0.931044</v>
      </c>
      <c r="K95" s="22">
        <v>0.008829</v>
      </c>
      <c r="L95" s="22">
        <v>0.877363</v>
      </c>
      <c r="M95" s="22">
        <v>0.202011</v>
      </c>
      <c r="N95" s="22">
        <v>0.327686</v>
      </c>
      <c r="O95" s="22">
        <v>0.871942</v>
      </c>
      <c r="P95" s="22">
        <v>0.727846</v>
      </c>
      <c r="Q95" s="22">
        <v>0.787565</v>
      </c>
      <c r="R95" s="22">
        <v>0.685125</v>
      </c>
      <c r="S95" s="22">
        <v>0.43686</v>
      </c>
      <c r="T95" s="22">
        <v>0.869575</v>
      </c>
      <c r="U95" s="22">
        <v>0.830566</v>
      </c>
      <c r="V95" s="22">
        <v>0.855253</v>
      </c>
      <c r="W95" s="25">
        <v>0.803699</v>
      </c>
      <c r="X95" s="22">
        <v>206.25</v>
      </c>
      <c r="Y95" s="22">
        <v>87.25</v>
      </c>
      <c r="Z95" s="22">
        <v>0</v>
      </c>
      <c r="AA95" s="22">
        <v>0.245727</v>
      </c>
      <c r="AB95" s="22">
        <v>378.809524</v>
      </c>
      <c r="AC95" s="34" t="s">
        <v>0</v>
      </c>
      <c r="AD95" s="34" t="s">
        <v>0</v>
      </c>
      <c r="AE95" s="34" t="s">
        <v>0</v>
      </c>
      <c r="AF95" s="34" t="s">
        <v>0</v>
      </c>
      <c r="AG95" s="34" t="s">
        <v>0</v>
      </c>
      <c r="AH95" s="34" t="s">
        <v>0</v>
      </c>
      <c r="AI95" s="34" t="s">
        <v>0</v>
      </c>
      <c r="AJ95" s="34" t="s">
        <v>0</v>
      </c>
      <c r="AK95" s="34" t="s">
        <v>0</v>
      </c>
    </row>
    <row r="96" spans="1:37">
      <c r="A96" s="27"/>
      <c r="B96" s="27"/>
      <c r="C96" s="22" t="s">
        <v>52</v>
      </c>
      <c r="D96" s="22">
        <v>0.988659</v>
      </c>
      <c r="E96" s="22">
        <v>0.650552</v>
      </c>
      <c r="F96" s="22">
        <v>0.010128</v>
      </c>
      <c r="G96" s="22">
        <v>0.019878</v>
      </c>
      <c r="H96" s="22">
        <v>0.661283</v>
      </c>
      <c r="I96" s="22">
        <v>1</v>
      </c>
      <c r="J96" s="22">
        <v>0.772971</v>
      </c>
      <c r="K96" s="22">
        <v>0.003901</v>
      </c>
      <c r="L96" s="22">
        <v>0.661283</v>
      </c>
      <c r="M96" s="22">
        <v>0.201308</v>
      </c>
      <c r="N96" s="22">
        <v>0.301158</v>
      </c>
      <c r="O96" s="22">
        <v>0.745276</v>
      </c>
      <c r="P96" s="22">
        <v>0.933703</v>
      </c>
      <c r="Q96" s="22">
        <v>0.823459</v>
      </c>
      <c r="R96" s="22">
        <v>0.696074</v>
      </c>
      <c r="S96" s="22">
        <v>0.51466</v>
      </c>
      <c r="T96" s="22">
        <v>0.870178</v>
      </c>
      <c r="U96" s="22">
        <v>0.82655</v>
      </c>
      <c r="V96" s="22">
        <v>0.86022</v>
      </c>
      <c r="W96" s="25">
        <v>0.811572</v>
      </c>
      <c r="X96" s="22">
        <v>202.167</v>
      </c>
      <c r="Y96" s="22">
        <v>99.375</v>
      </c>
      <c r="Z96" s="22">
        <v>0.25</v>
      </c>
      <c r="AA96" s="22">
        <v>1.395305</v>
      </c>
      <c r="AB96" s="22">
        <v>101.334621</v>
      </c>
      <c r="AC96" s="34" t="s">
        <v>0</v>
      </c>
      <c r="AD96" s="34" t="s">
        <v>0</v>
      </c>
      <c r="AE96" s="34" t="s">
        <v>0</v>
      </c>
      <c r="AF96" s="34" t="s">
        <v>0</v>
      </c>
      <c r="AG96" s="34" t="s">
        <v>0</v>
      </c>
      <c r="AH96" s="34" t="s">
        <v>0</v>
      </c>
      <c r="AI96" s="34" t="s">
        <v>0</v>
      </c>
      <c r="AJ96" s="34" t="s">
        <v>0</v>
      </c>
      <c r="AK96" s="34" t="s">
        <v>0</v>
      </c>
    </row>
    <row r="97" spans="1:37">
      <c r="A97" s="27"/>
      <c r="B97" s="27"/>
      <c r="C97" s="22" t="s">
        <v>53</v>
      </c>
      <c r="D97" s="22">
        <v>0.993597</v>
      </c>
      <c r="E97" s="22">
        <v>0.974279</v>
      </c>
      <c r="F97" s="22">
        <v>0.019658</v>
      </c>
      <c r="G97" s="22">
        <v>0.037832</v>
      </c>
      <c r="H97" s="22">
        <v>0.958959</v>
      </c>
      <c r="I97" s="22">
        <v>1</v>
      </c>
      <c r="J97" s="22">
        <v>0.977945</v>
      </c>
      <c r="K97" s="22">
        <v>0.020173</v>
      </c>
      <c r="L97" s="22">
        <v>0.958959</v>
      </c>
      <c r="M97" s="22">
        <v>0.205694</v>
      </c>
      <c r="N97" s="22">
        <v>0.338505</v>
      </c>
      <c r="O97" s="22">
        <v>0.976869</v>
      </c>
      <c r="P97" s="22">
        <v>0.776993</v>
      </c>
      <c r="Q97" s="22">
        <v>0.860034</v>
      </c>
      <c r="R97" s="22">
        <v>0.696102</v>
      </c>
      <c r="S97" s="22">
        <v>0.445725</v>
      </c>
      <c r="T97" s="22">
        <v>0.876061</v>
      </c>
      <c r="U97" s="22">
        <v>0.835231</v>
      </c>
      <c r="V97" s="22">
        <v>0.860421</v>
      </c>
      <c r="W97" s="25">
        <v>0.806304</v>
      </c>
      <c r="X97" s="22">
        <v>182.5</v>
      </c>
      <c r="Y97" s="22">
        <v>292.75</v>
      </c>
      <c r="Z97" s="22">
        <v>0</v>
      </c>
      <c r="AA97" s="22">
        <v>0.391047</v>
      </c>
      <c r="AB97" s="22">
        <v>290.64058</v>
      </c>
      <c r="AC97" s="34" t="s">
        <v>0</v>
      </c>
      <c r="AD97" s="34" t="s">
        <v>0</v>
      </c>
      <c r="AE97" s="34" t="s">
        <v>0</v>
      </c>
      <c r="AF97" s="34" t="s">
        <v>0</v>
      </c>
      <c r="AG97" s="34" t="s">
        <v>0</v>
      </c>
      <c r="AH97" s="34" t="s">
        <v>0</v>
      </c>
      <c r="AI97" s="34" t="s">
        <v>0</v>
      </c>
      <c r="AJ97" s="34" t="s">
        <v>0</v>
      </c>
      <c r="AK97" s="34" t="s">
        <v>0</v>
      </c>
    </row>
    <row r="98" spans="1:37">
      <c r="A98" s="27"/>
      <c r="B98" s="27"/>
      <c r="C98" s="22" t="s">
        <v>54</v>
      </c>
      <c r="D98" s="22">
        <v>0.998309</v>
      </c>
      <c r="E98" s="22">
        <v>0.375</v>
      </c>
      <c r="F98" s="22">
        <v>0.0009</v>
      </c>
      <c r="G98" s="22">
        <v>0.001793</v>
      </c>
      <c r="H98" s="22">
        <v>0.375</v>
      </c>
      <c r="I98" s="22">
        <v>0.375</v>
      </c>
      <c r="J98" s="22">
        <v>0.375</v>
      </c>
      <c r="K98" s="22">
        <v>0.000747</v>
      </c>
      <c r="L98" s="22">
        <v>0.375</v>
      </c>
      <c r="M98" s="22">
        <v>0.075173</v>
      </c>
      <c r="N98" s="22">
        <v>0.125241</v>
      </c>
      <c r="O98" s="22">
        <v>0.375</v>
      </c>
      <c r="P98" s="22">
        <v>0.247177</v>
      </c>
      <c r="Q98" s="22">
        <v>0.296046</v>
      </c>
      <c r="R98" s="22">
        <v>0.642588</v>
      </c>
      <c r="S98" s="22">
        <v>0.364294</v>
      </c>
      <c r="T98" s="22">
        <v>0.843087</v>
      </c>
      <c r="U98" s="22">
        <v>0.80553</v>
      </c>
      <c r="V98" s="22">
        <v>0.836529</v>
      </c>
      <c r="W98" s="25">
        <v>0.781818</v>
      </c>
      <c r="X98" s="22" t="s">
        <v>0</v>
      </c>
      <c r="Y98" s="22">
        <v>146.75</v>
      </c>
      <c r="Z98" s="22">
        <v>0</v>
      </c>
      <c r="AA98" s="22">
        <v>0.136273</v>
      </c>
      <c r="AB98" s="22">
        <v>220.833333</v>
      </c>
      <c r="AC98" s="34" t="s">
        <v>0</v>
      </c>
      <c r="AD98" s="34" t="s">
        <v>0</v>
      </c>
      <c r="AE98" s="34" t="s">
        <v>0</v>
      </c>
      <c r="AF98" s="34" t="s">
        <v>0</v>
      </c>
      <c r="AG98" s="34" t="s">
        <v>0</v>
      </c>
      <c r="AH98" s="34" t="s">
        <v>0</v>
      </c>
      <c r="AI98" s="34" t="s">
        <v>0</v>
      </c>
      <c r="AJ98" s="34" t="s">
        <v>0</v>
      </c>
      <c r="AK98" s="34" t="s">
        <v>0</v>
      </c>
    </row>
    <row r="99" spans="1:37">
      <c r="A99" s="27"/>
      <c r="B99" s="27"/>
      <c r="C99" s="22" t="s">
        <v>55</v>
      </c>
      <c r="D99" s="22">
        <v>0.991043</v>
      </c>
      <c r="E99" s="22">
        <v>0.673726</v>
      </c>
      <c r="F99" s="22">
        <v>0.012403</v>
      </c>
      <c r="G99" s="22">
        <v>0.024104</v>
      </c>
      <c r="H99" s="22">
        <v>0.792708</v>
      </c>
      <c r="I99" s="22">
        <v>1</v>
      </c>
      <c r="J99" s="22">
        <v>0.875397</v>
      </c>
      <c r="K99" s="22">
        <v>0.01144</v>
      </c>
      <c r="L99" s="22">
        <v>0.761458</v>
      </c>
      <c r="M99" s="22">
        <v>0.203096</v>
      </c>
      <c r="N99" s="22">
        <v>0.317593</v>
      </c>
      <c r="O99" s="22">
        <v>0.777067</v>
      </c>
      <c r="P99" s="22">
        <v>0.785005</v>
      </c>
      <c r="Q99" s="22">
        <v>0.77357</v>
      </c>
      <c r="R99" s="22">
        <v>0.668718</v>
      </c>
      <c r="S99" s="22">
        <v>0.427723</v>
      </c>
      <c r="T99" s="22">
        <v>0.876814</v>
      </c>
      <c r="U99" s="22">
        <v>0.843082</v>
      </c>
      <c r="V99" s="22">
        <v>0.853506</v>
      </c>
      <c r="W99" s="25">
        <v>0.805525</v>
      </c>
      <c r="X99" s="22">
        <v>157</v>
      </c>
      <c r="Y99" s="22">
        <v>71.625</v>
      </c>
      <c r="Z99" s="22">
        <v>0</v>
      </c>
      <c r="AA99" s="22">
        <v>0.3791</v>
      </c>
      <c r="AB99" s="22">
        <v>345.352399</v>
      </c>
      <c r="AC99" s="34" t="s">
        <v>0</v>
      </c>
      <c r="AD99" s="34" t="s">
        <v>0</v>
      </c>
      <c r="AE99" s="34" t="s">
        <v>0</v>
      </c>
      <c r="AF99" s="34" t="s">
        <v>0</v>
      </c>
      <c r="AG99" s="34" t="s">
        <v>0</v>
      </c>
      <c r="AH99" s="34" t="s">
        <v>0</v>
      </c>
      <c r="AI99" s="34" t="s">
        <v>0</v>
      </c>
      <c r="AJ99" s="34" t="s">
        <v>0</v>
      </c>
      <c r="AK99" s="34" t="s">
        <v>0</v>
      </c>
    </row>
    <row r="100" spans="1:37">
      <c r="A100" s="27"/>
      <c r="B100" s="27"/>
      <c r="C100" s="22" t="s">
        <v>56</v>
      </c>
      <c r="D100" s="22">
        <v>0.995783</v>
      </c>
      <c r="E100" s="22">
        <v>0.351124</v>
      </c>
      <c r="F100" s="22">
        <v>0.012354</v>
      </c>
      <c r="G100" s="22">
        <v>0.023223</v>
      </c>
      <c r="H100" s="22">
        <v>0.327381</v>
      </c>
      <c r="I100" s="22">
        <v>0.375</v>
      </c>
      <c r="J100" s="22">
        <v>0.345588</v>
      </c>
      <c r="K100" s="22">
        <v>0.00918</v>
      </c>
      <c r="L100" s="22">
        <v>0.327381</v>
      </c>
      <c r="M100" s="22">
        <v>0.07585</v>
      </c>
      <c r="N100" s="22">
        <v>0.122286</v>
      </c>
      <c r="O100" s="22">
        <v>0.35214</v>
      </c>
      <c r="P100" s="22">
        <v>0.286769</v>
      </c>
      <c r="Q100" s="22">
        <v>0.311011</v>
      </c>
      <c r="R100" s="22">
        <v>0.777119</v>
      </c>
      <c r="S100" s="22">
        <v>0.614922</v>
      </c>
      <c r="T100" s="22">
        <v>0.928523</v>
      </c>
      <c r="U100" s="22">
        <v>0.903521</v>
      </c>
      <c r="V100" s="22">
        <v>0.908815</v>
      </c>
      <c r="W100" s="25">
        <v>0.880015</v>
      </c>
      <c r="X100" s="22">
        <v>124</v>
      </c>
      <c r="Y100" s="22">
        <v>116.75</v>
      </c>
      <c r="Z100" s="22">
        <v>0</v>
      </c>
      <c r="AA100" s="22">
        <v>0.097546</v>
      </c>
      <c r="AB100" s="22">
        <v>195.666667</v>
      </c>
      <c r="AC100" s="34" t="s">
        <v>0</v>
      </c>
      <c r="AD100" s="34" t="s">
        <v>0</v>
      </c>
      <c r="AE100" s="34" t="s">
        <v>0</v>
      </c>
      <c r="AF100" s="34" t="s">
        <v>0</v>
      </c>
      <c r="AG100" s="34" t="s">
        <v>0</v>
      </c>
      <c r="AH100" s="34" t="s">
        <v>0</v>
      </c>
      <c r="AI100" s="34" t="s">
        <v>0</v>
      </c>
      <c r="AJ100" s="34" t="s">
        <v>0</v>
      </c>
      <c r="AK100" s="34" t="s">
        <v>0</v>
      </c>
    </row>
    <row r="101" spans="1:37">
      <c r="A101" s="27"/>
      <c r="B101" s="27"/>
      <c r="C101" s="22" t="s">
        <v>57</v>
      </c>
      <c r="D101" s="22">
        <v>0.993288</v>
      </c>
      <c r="E101" s="22">
        <v>0.79636</v>
      </c>
      <c r="F101" s="22">
        <v>0.009635</v>
      </c>
      <c r="G101" s="22">
        <v>0.018914</v>
      </c>
      <c r="H101" s="22">
        <v>0.774937</v>
      </c>
      <c r="I101" s="22">
        <v>1</v>
      </c>
      <c r="J101" s="22">
        <v>0.842475</v>
      </c>
      <c r="K101" s="22">
        <v>0.00807</v>
      </c>
      <c r="L101" s="22">
        <v>0.774937</v>
      </c>
      <c r="M101" s="22">
        <v>0.202191</v>
      </c>
      <c r="N101" s="22">
        <v>0.310748</v>
      </c>
      <c r="O101" s="22">
        <v>0.83761</v>
      </c>
      <c r="P101" s="22">
        <v>0.800208</v>
      </c>
      <c r="Q101" s="22">
        <v>0.812864</v>
      </c>
      <c r="R101" s="22">
        <v>0.675798</v>
      </c>
      <c r="S101" s="22">
        <v>0.442771</v>
      </c>
      <c r="T101" s="22">
        <v>0.884299</v>
      </c>
      <c r="U101" s="22">
        <v>0.854294</v>
      </c>
      <c r="V101" s="22">
        <v>0.863281</v>
      </c>
      <c r="W101" s="25">
        <v>0.822972</v>
      </c>
      <c r="X101" s="22">
        <v>149.5</v>
      </c>
      <c r="Y101" s="22">
        <v>71</v>
      </c>
      <c r="Z101" s="22">
        <v>0</v>
      </c>
      <c r="AA101" s="22">
        <v>0.666513</v>
      </c>
      <c r="AB101" s="22">
        <v>374.916749</v>
      </c>
      <c r="AC101" s="34" t="s">
        <v>0</v>
      </c>
      <c r="AD101" s="34" t="s">
        <v>0</v>
      </c>
      <c r="AE101" s="34" t="s">
        <v>0</v>
      </c>
      <c r="AF101" s="34" t="s">
        <v>0</v>
      </c>
      <c r="AG101" s="34" t="s">
        <v>0</v>
      </c>
      <c r="AH101" s="34" t="s">
        <v>0</v>
      </c>
      <c r="AI101" s="34" t="s">
        <v>0</v>
      </c>
      <c r="AJ101" s="34" t="s">
        <v>0</v>
      </c>
      <c r="AK101" s="34" t="s">
        <v>0</v>
      </c>
    </row>
    <row r="102" spans="1:37">
      <c r="A102" s="27"/>
      <c r="B102" s="27"/>
      <c r="C102" s="22" t="s">
        <v>58</v>
      </c>
      <c r="D102" s="22">
        <v>0.999657</v>
      </c>
      <c r="E102" s="22">
        <v>0.4375</v>
      </c>
      <c r="F102" s="22">
        <v>0.001894</v>
      </c>
      <c r="G102" s="22">
        <v>0.003753</v>
      </c>
      <c r="H102" s="22">
        <v>0.46875</v>
      </c>
      <c r="I102" s="22">
        <v>0.5</v>
      </c>
      <c r="J102" s="22">
        <v>0.482143</v>
      </c>
      <c r="K102" s="22">
        <v>0.002411</v>
      </c>
      <c r="L102" s="22">
        <v>0.46875</v>
      </c>
      <c r="M102" s="22">
        <v>0.100474</v>
      </c>
      <c r="N102" s="22">
        <v>0.165119</v>
      </c>
      <c r="O102" s="22">
        <v>0.440235</v>
      </c>
      <c r="P102" s="22">
        <v>0.316417</v>
      </c>
      <c r="Q102" s="22">
        <v>0.348581</v>
      </c>
      <c r="R102" s="22">
        <v>0.720314</v>
      </c>
      <c r="S102" s="22">
        <v>0.530677</v>
      </c>
      <c r="T102" s="22">
        <v>0.865071</v>
      </c>
      <c r="U102" s="22">
        <v>0.825483</v>
      </c>
      <c r="V102" s="22">
        <v>0.855391</v>
      </c>
      <c r="W102" s="25">
        <v>0.809447</v>
      </c>
      <c r="X102" s="22">
        <v>124</v>
      </c>
      <c r="Y102" s="22">
        <v>2021</v>
      </c>
      <c r="Z102" s="22">
        <v>0</v>
      </c>
      <c r="AA102" s="22">
        <v>0.021318</v>
      </c>
      <c r="AB102" s="22">
        <v>11</v>
      </c>
      <c r="AC102" s="34" t="s">
        <v>0</v>
      </c>
      <c r="AD102" s="34" t="s">
        <v>0</v>
      </c>
      <c r="AE102" s="34" t="s">
        <v>0</v>
      </c>
      <c r="AF102" s="34" t="s">
        <v>0</v>
      </c>
      <c r="AG102" s="34" t="s">
        <v>0</v>
      </c>
      <c r="AH102" s="34" t="s">
        <v>0</v>
      </c>
      <c r="AI102" s="34" t="s">
        <v>0</v>
      </c>
      <c r="AJ102" s="34" t="s">
        <v>0</v>
      </c>
      <c r="AK102" s="34" t="s">
        <v>0</v>
      </c>
    </row>
    <row r="103" spans="1:37">
      <c r="A103" s="27"/>
      <c r="B103" s="27"/>
      <c r="C103" s="22" t="s">
        <v>59</v>
      </c>
      <c r="D103" s="22">
        <v>0.969951</v>
      </c>
      <c r="E103" s="22">
        <v>0.623115</v>
      </c>
      <c r="F103" s="22">
        <v>0.034886</v>
      </c>
      <c r="G103" s="22">
        <v>0.055688</v>
      </c>
      <c r="H103" s="22">
        <v>0.672991</v>
      </c>
      <c r="I103" s="22">
        <v>0.75</v>
      </c>
      <c r="J103" s="22">
        <v>0.702978</v>
      </c>
      <c r="K103" s="22">
        <v>0.026244</v>
      </c>
      <c r="L103" s="22">
        <v>0.651563</v>
      </c>
      <c r="M103" s="22">
        <v>0.157296</v>
      </c>
      <c r="N103" s="22">
        <v>0.250571</v>
      </c>
      <c r="O103" s="22">
        <v>0.643689</v>
      </c>
      <c r="P103" s="22">
        <v>0.611764</v>
      </c>
      <c r="Q103" s="22">
        <v>0.609492</v>
      </c>
      <c r="R103" s="22">
        <v>0.64748</v>
      </c>
      <c r="S103" s="22">
        <v>0.368374</v>
      </c>
      <c r="T103" s="22">
        <v>0.838131</v>
      </c>
      <c r="U103" s="22">
        <v>0.807654</v>
      </c>
      <c r="V103" s="22">
        <v>0.830981</v>
      </c>
      <c r="W103" s="25">
        <v>0.783566</v>
      </c>
      <c r="X103" s="22">
        <v>68</v>
      </c>
      <c r="Y103" s="22">
        <v>738.167</v>
      </c>
      <c r="Z103" s="22">
        <v>0</v>
      </c>
      <c r="AA103" s="22">
        <v>0.169329</v>
      </c>
      <c r="AB103" s="22">
        <v>518.666667</v>
      </c>
      <c r="AC103" s="34" t="s">
        <v>0</v>
      </c>
      <c r="AD103" s="34" t="s">
        <v>0</v>
      </c>
      <c r="AE103" s="34" t="s">
        <v>0</v>
      </c>
      <c r="AF103" s="34" t="s">
        <v>0</v>
      </c>
      <c r="AG103" s="34" t="s">
        <v>0</v>
      </c>
      <c r="AH103" s="34" t="s">
        <v>0</v>
      </c>
      <c r="AI103" s="34" t="s">
        <v>0</v>
      </c>
      <c r="AJ103" s="34" t="s">
        <v>0</v>
      </c>
      <c r="AK103" s="34" t="s">
        <v>0</v>
      </c>
    </row>
    <row r="104" spans="1:37">
      <c r="A104" s="27"/>
      <c r="B104" s="27"/>
      <c r="C104" s="22" t="s">
        <v>60</v>
      </c>
      <c r="D104" s="22">
        <v>0.987011</v>
      </c>
      <c r="E104" s="22">
        <v>0.927025</v>
      </c>
      <c r="F104" s="22">
        <v>0.013908</v>
      </c>
      <c r="G104" s="22">
        <v>0.027132</v>
      </c>
      <c r="H104" s="22">
        <v>0.939223</v>
      </c>
      <c r="I104" s="22">
        <v>1</v>
      </c>
      <c r="J104" s="22">
        <v>0.967008</v>
      </c>
      <c r="K104" s="22">
        <v>0.003609</v>
      </c>
      <c r="L104" s="22">
        <v>0.939223</v>
      </c>
      <c r="M104" s="22">
        <v>0.201254</v>
      </c>
      <c r="N104" s="22">
        <v>0.331129</v>
      </c>
      <c r="O104" s="22">
        <v>0.945186</v>
      </c>
      <c r="P104" s="22">
        <v>0.863497</v>
      </c>
      <c r="Q104" s="22">
        <v>0.89832</v>
      </c>
      <c r="R104" s="22">
        <v>0.666869</v>
      </c>
      <c r="S104" s="22">
        <v>0.400043</v>
      </c>
      <c r="T104" s="22">
        <v>0.862939</v>
      </c>
      <c r="U104" s="22">
        <v>0.827222</v>
      </c>
      <c r="V104" s="22">
        <v>0.855388</v>
      </c>
      <c r="W104" s="25">
        <v>0.804874</v>
      </c>
      <c r="X104" s="22">
        <v>177.5</v>
      </c>
      <c r="Y104" s="22">
        <v>50.75</v>
      </c>
      <c r="Z104" s="22">
        <v>0</v>
      </c>
      <c r="AA104" s="22">
        <v>1.570639</v>
      </c>
      <c r="AB104" s="22">
        <v>122.959521</v>
      </c>
      <c r="AC104" s="34" t="s">
        <v>0</v>
      </c>
      <c r="AD104" s="34" t="s">
        <v>0</v>
      </c>
      <c r="AE104" s="34" t="s">
        <v>0</v>
      </c>
      <c r="AF104" s="34" t="s">
        <v>0</v>
      </c>
      <c r="AG104" s="34" t="s">
        <v>0</v>
      </c>
      <c r="AH104" s="34" t="s">
        <v>0</v>
      </c>
      <c r="AI104" s="34" t="s">
        <v>0</v>
      </c>
      <c r="AJ104" s="34" t="s">
        <v>0</v>
      </c>
      <c r="AK104" s="34" t="s">
        <v>0</v>
      </c>
    </row>
    <row r="105" spans="1:37">
      <c r="A105" s="27"/>
      <c r="B105" s="27"/>
      <c r="C105" s="22" t="s">
        <v>61</v>
      </c>
      <c r="D105" s="22">
        <v>1</v>
      </c>
      <c r="E105" s="22">
        <v>0.25</v>
      </c>
      <c r="F105" s="22">
        <v>0.003869</v>
      </c>
      <c r="G105" s="22">
        <v>0.00762</v>
      </c>
      <c r="H105" s="22">
        <v>0.25</v>
      </c>
      <c r="I105" s="22">
        <v>0.25</v>
      </c>
      <c r="J105" s="22">
        <v>0.25</v>
      </c>
      <c r="K105" s="22">
        <v>0.00762</v>
      </c>
      <c r="L105" s="22">
        <v>0.25</v>
      </c>
      <c r="M105" s="22">
        <v>0.053095</v>
      </c>
      <c r="N105" s="22">
        <v>0.087588</v>
      </c>
      <c r="O105" s="22">
        <v>0.25</v>
      </c>
      <c r="P105" s="22">
        <v>0.119504</v>
      </c>
      <c r="Q105" s="22">
        <v>0.161709</v>
      </c>
      <c r="R105" s="22">
        <v>0.85623</v>
      </c>
      <c r="S105" s="22">
        <v>0.619647</v>
      </c>
      <c r="T105" s="22">
        <v>0.95264</v>
      </c>
      <c r="U105" s="22">
        <v>0.908332</v>
      </c>
      <c r="V105" s="22">
        <v>0.941787</v>
      </c>
      <c r="W105" s="25">
        <v>0.885498</v>
      </c>
      <c r="X105" s="22" t="s">
        <v>0</v>
      </c>
      <c r="Y105" s="22">
        <v>2542</v>
      </c>
      <c r="Z105" s="22">
        <v>0</v>
      </c>
      <c r="AA105" s="22">
        <v>0</v>
      </c>
      <c r="AB105" s="22" t="s">
        <v>0</v>
      </c>
      <c r="AC105" s="34" t="s">
        <v>0</v>
      </c>
      <c r="AD105" s="34" t="s">
        <v>0</v>
      </c>
      <c r="AE105" s="34" t="s">
        <v>0</v>
      </c>
      <c r="AF105" s="34" t="s">
        <v>0</v>
      </c>
      <c r="AG105" s="34" t="s">
        <v>0</v>
      </c>
      <c r="AH105" s="34" t="s">
        <v>0</v>
      </c>
      <c r="AI105" s="34" t="s">
        <v>0</v>
      </c>
      <c r="AJ105" s="34" t="s">
        <v>0</v>
      </c>
      <c r="AK105" s="34" t="s">
        <v>0</v>
      </c>
    </row>
    <row r="106" spans="1:37">
      <c r="A106" s="27"/>
      <c r="B106" s="27"/>
      <c r="C106" s="22" t="s">
        <v>62</v>
      </c>
      <c r="D106" s="22">
        <v>1</v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  <c r="J106" s="22">
        <v>0</v>
      </c>
      <c r="K106" s="22">
        <v>0</v>
      </c>
      <c r="L106" s="22">
        <v>0</v>
      </c>
      <c r="M106" s="22">
        <v>0</v>
      </c>
      <c r="N106" s="22">
        <v>0</v>
      </c>
      <c r="O106" s="22">
        <v>0</v>
      </c>
      <c r="P106" s="22">
        <v>0</v>
      </c>
      <c r="Q106" s="22">
        <v>0</v>
      </c>
      <c r="R106" s="22">
        <v>0.804265</v>
      </c>
      <c r="S106" s="22">
        <v>0.592625</v>
      </c>
      <c r="T106" s="22">
        <v>0.932665</v>
      </c>
      <c r="U106" s="22">
        <v>0.885264</v>
      </c>
      <c r="V106" s="22">
        <v>0.924005</v>
      </c>
      <c r="W106" s="25">
        <v>0.869942</v>
      </c>
      <c r="X106" s="22" t="s">
        <v>0</v>
      </c>
      <c r="Y106" s="22" t="s">
        <v>0</v>
      </c>
      <c r="Z106" s="22">
        <v>0</v>
      </c>
      <c r="AA106" s="22">
        <v>0</v>
      </c>
      <c r="AB106" s="22" t="s">
        <v>0</v>
      </c>
      <c r="AC106" s="34" t="s">
        <v>0</v>
      </c>
      <c r="AD106" s="34" t="s">
        <v>0</v>
      </c>
      <c r="AE106" s="34" t="s">
        <v>0</v>
      </c>
      <c r="AF106" s="34" t="s">
        <v>0</v>
      </c>
      <c r="AG106" s="34" t="s">
        <v>0</v>
      </c>
      <c r="AH106" s="34" t="s">
        <v>0</v>
      </c>
      <c r="AI106" s="34" t="s">
        <v>0</v>
      </c>
      <c r="AJ106" s="34" t="s">
        <v>0</v>
      </c>
      <c r="AK106" s="34" t="s">
        <v>0</v>
      </c>
    </row>
    <row r="107" spans="1:37">
      <c r="A107" s="27"/>
      <c r="B107" s="27"/>
      <c r="C107" s="22" t="s">
        <v>63</v>
      </c>
      <c r="D107" s="22">
        <v>0.99764</v>
      </c>
      <c r="E107" s="22">
        <v>0.183594</v>
      </c>
      <c r="F107" s="22">
        <v>0.005922</v>
      </c>
      <c r="G107" s="22">
        <v>0.011405</v>
      </c>
      <c r="H107" s="22">
        <v>0.1875</v>
      </c>
      <c r="I107" s="22">
        <v>0.25</v>
      </c>
      <c r="J107" s="22">
        <v>0.208333</v>
      </c>
      <c r="K107" s="22">
        <v>0.007898</v>
      </c>
      <c r="L107" s="22">
        <v>0.1875</v>
      </c>
      <c r="M107" s="22">
        <v>0.052638</v>
      </c>
      <c r="N107" s="22">
        <v>0.080803</v>
      </c>
      <c r="O107" s="22">
        <v>0.186115</v>
      </c>
      <c r="P107" s="22">
        <v>0.161587</v>
      </c>
      <c r="Q107" s="22">
        <v>0.165013</v>
      </c>
      <c r="R107" s="22">
        <v>0.675545</v>
      </c>
      <c r="S107" s="22">
        <v>0.496325</v>
      </c>
      <c r="T107" s="22">
        <v>0.869073</v>
      </c>
      <c r="U107" s="22">
        <v>0.851114</v>
      </c>
      <c r="V107" s="22">
        <v>0.857636</v>
      </c>
      <c r="W107" s="25">
        <v>0.827873</v>
      </c>
      <c r="X107" s="22">
        <v>144</v>
      </c>
      <c r="Y107" s="22">
        <v>4086</v>
      </c>
      <c r="Z107" s="22">
        <v>0</v>
      </c>
      <c r="AA107" s="22">
        <v>0.00607</v>
      </c>
      <c r="AB107" s="22" t="s">
        <v>0</v>
      </c>
      <c r="AC107" s="34" t="s">
        <v>0</v>
      </c>
      <c r="AD107" s="34" t="s">
        <v>0</v>
      </c>
      <c r="AE107" s="34" t="s">
        <v>0</v>
      </c>
      <c r="AF107" s="34" t="s">
        <v>0</v>
      </c>
      <c r="AG107" s="34" t="s">
        <v>0</v>
      </c>
      <c r="AH107" s="34" t="s">
        <v>0</v>
      </c>
      <c r="AI107" s="34" t="s">
        <v>0</v>
      </c>
      <c r="AJ107" s="34" t="s">
        <v>0</v>
      </c>
      <c r="AK107" s="34" t="s">
        <v>0</v>
      </c>
    </row>
    <row r="108" spans="1:37">
      <c r="A108" s="27"/>
      <c r="B108" s="27"/>
      <c r="C108" s="22" t="s">
        <v>64</v>
      </c>
      <c r="D108" s="22">
        <v>0.996844</v>
      </c>
      <c r="E108" s="22">
        <v>0.329765</v>
      </c>
      <c r="F108" s="22">
        <v>0.006751</v>
      </c>
      <c r="G108" s="22">
        <v>0.013136</v>
      </c>
      <c r="H108" s="22">
        <v>0.343989</v>
      </c>
      <c r="I108" s="22">
        <v>0.375</v>
      </c>
      <c r="J108" s="22">
        <v>0.358463</v>
      </c>
      <c r="K108" s="22">
        <v>0.002994</v>
      </c>
      <c r="L108" s="22">
        <v>0.343989</v>
      </c>
      <c r="M108" s="22">
        <v>0.075345</v>
      </c>
      <c r="N108" s="22">
        <v>0.123538</v>
      </c>
      <c r="O108" s="22">
        <v>0.337872</v>
      </c>
      <c r="P108" s="22">
        <v>0.298189</v>
      </c>
      <c r="Q108" s="22">
        <v>0.313445</v>
      </c>
      <c r="R108" s="22">
        <v>0.712183</v>
      </c>
      <c r="S108" s="22">
        <v>0.455966</v>
      </c>
      <c r="T108" s="22">
        <v>0.847146</v>
      </c>
      <c r="U108" s="22">
        <v>0.799769</v>
      </c>
      <c r="V108" s="22">
        <v>0.855437</v>
      </c>
      <c r="W108" s="25">
        <v>0.797903</v>
      </c>
      <c r="X108" s="22">
        <v>122.5</v>
      </c>
      <c r="Y108" s="22">
        <v>76.25</v>
      </c>
      <c r="Z108" s="22">
        <v>0</v>
      </c>
      <c r="AA108" s="22">
        <v>0.119523</v>
      </c>
      <c r="AB108" s="22">
        <v>55.964286</v>
      </c>
      <c r="AC108" s="34" t="s">
        <v>0</v>
      </c>
      <c r="AD108" s="34" t="s">
        <v>0</v>
      </c>
      <c r="AE108" s="34" t="s">
        <v>0</v>
      </c>
      <c r="AF108" s="34" t="s">
        <v>0</v>
      </c>
      <c r="AG108" s="34" t="s">
        <v>0</v>
      </c>
      <c r="AH108" s="34" t="s">
        <v>0</v>
      </c>
      <c r="AI108" s="34" t="s">
        <v>0</v>
      </c>
      <c r="AJ108" s="34" t="s">
        <v>0</v>
      </c>
      <c r="AK108" s="34" t="s">
        <v>0</v>
      </c>
    </row>
    <row r="109" spans="1:37">
      <c r="A109" s="27"/>
      <c r="B109" s="22" t="s">
        <v>65</v>
      </c>
      <c r="C109" s="22" t="s">
        <v>66</v>
      </c>
      <c r="D109" s="22">
        <v>0.990395</v>
      </c>
      <c r="E109" s="22">
        <v>0.716968</v>
      </c>
      <c r="F109" s="22">
        <v>0.009486</v>
      </c>
      <c r="G109" s="22">
        <v>0.018697</v>
      </c>
      <c r="H109" s="22">
        <v>0.724511</v>
      </c>
      <c r="I109" s="22">
        <v>1</v>
      </c>
      <c r="J109" s="22">
        <v>0.83045</v>
      </c>
      <c r="K109" s="22">
        <v>0.004354</v>
      </c>
      <c r="L109" s="22">
        <v>0.724511</v>
      </c>
      <c r="M109" s="22">
        <v>0.201284</v>
      </c>
      <c r="N109" s="22">
        <v>0.312114</v>
      </c>
      <c r="O109" s="22">
        <v>0.805491</v>
      </c>
      <c r="P109" s="22">
        <v>0.91625</v>
      </c>
      <c r="Q109" s="22">
        <v>0.854772</v>
      </c>
      <c r="R109" s="22">
        <v>0.667673</v>
      </c>
      <c r="S109" s="22">
        <v>0.444231</v>
      </c>
      <c r="T109" s="22">
        <v>0.863777</v>
      </c>
      <c r="U109" s="22">
        <v>0.83553</v>
      </c>
      <c r="V109" s="22">
        <v>0.848732</v>
      </c>
      <c r="W109" s="25">
        <v>0.805162</v>
      </c>
      <c r="X109" s="22">
        <v>213</v>
      </c>
      <c r="Y109" s="22">
        <v>33</v>
      </c>
      <c r="Z109" s="22">
        <v>0.25</v>
      </c>
      <c r="AA109" s="22">
        <v>1.166458</v>
      </c>
      <c r="AB109" s="22">
        <v>122.74609</v>
      </c>
      <c r="AC109" s="34" t="s">
        <v>0</v>
      </c>
      <c r="AD109" s="34" t="s">
        <v>0</v>
      </c>
      <c r="AE109" s="34" t="s">
        <v>0</v>
      </c>
      <c r="AF109" s="34" t="s">
        <v>0</v>
      </c>
      <c r="AG109" s="34" t="s">
        <v>0</v>
      </c>
      <c r="AH109" s="34" t="s">
        <v>0</v>
      </c>
      <c r="AI109" s="34" t="s">
        <v>0</v>
      </c>
      <c r="AJ109" s="34" t="s">
        <v>0</v>
      </c>
      <c r="AK109" s="34" t="s">
        <v>0</v>
      </c>
    </row>
    <row r="110" spans="1:37">
      <c r="A110" s="27"/>
      <c r="B110" s="28"/>
      <c r="C110" s="22" t="s">
        <v>67</v>
      </c>
      <c r="D110" s="22">
        <v>0.991399</v>
      </c>
      <c r="E110" s="22">
        <v>0.771293</v>
      </c>
      <c r="F110" s="22">
        <v>0.01129</v>
      </c>
      <c r="G110" s="22">
        <v>0.022198</v>
      </c>
      <c r="H110" s="22">
        <v>0.816857</v>
      </c>
      <c r="I110" s="22">
        <v>1</v>
      </c>
      <c r="J110" s="22">
        <v>0.884607</v>
      </c>
      <c r="K110" s="22">
        <v>0.007714</v>
      </c>
      <c r="L110" s="22">
        <v>0.816857</v>
      </c>
      <c r="M110" s="22">
        <v>0.201716</v>
      </c>
      <c r="N110" s="22">
        <v>0.319681</v>
      </c>
      <c r="O110" s="22">
        <v>0.829915</v>
      </c>
      <c r="P110" s="22">
        <v>0.828801</v>
      </c>
      <c r="Q110" s="22">
        <v>0.816515</v>
      </c>
      <c r="R110" s="22">
        <v>0.680706</v>
      </c>
      <c r="S110" s="22">
        <v>0.456615</v>
      </c>
      <c r="T110" s="22">
        <v>0.863149</v>
      </c>
      <c r="U110" s="22">
        <v>0.828179</v>
      </c>
      <c r="V110" s="22">
        <v>0.849449</v>
      </c>
      <c r="W110" s="25">
        <v>0.801268</v>
      </c>
      <c r="X110" s="22">
        <v>200.25</v>
      </c>
      <c r="Y110" s="22">
        <v>124.125</v>
      </c>
      <c r="Z110" s="22">
        <v>0</v>
      </c>
      <c r="AA110" s="22">
        <v>0.894167</v>
      </c>
      <c r="AB110" s="22">
        <v>211.640675</v>
      </c>
      <c r="AC110" s="34" t="s">
        <v>0</v>
      </c>
      <c r="AD110" s="34" t="s">
        <v>0</v>
      </c>
      <c r="AE110" s="34" t="s">
        <v>0</v>
      </c>
      <c r="AF110" s="34" t="s">
        <v>0</v>
      </c>
      <c r="AG110" s="34" t="s">
        <v>0</v>
      </c>
      <c r="AH110" s="34" t="s">
        <v>0</v>
      </c>
      <c r="AI110" s="34" t="s">
        <v>0</v>
      </c>
      <c r="AJ110" s="34" t="s">
        <v>0</v>
      </c>
      <c r="AK110" s="34" t="s">
        <v>0</v>
      </c>
    </row>
    <row r="111" spans="1:37">
      <c r="A111" s="27"/>
      <c r="B111" s="22" t="s">
        <v>68</v>
      </c>
      <c r="C111" s="22" t="s">
        <v>69</v>
      </c>
      <c r="D111" s="22">
        <v>0.990508</v>
      </c>
      <c r="E111" s="22">
        <v>0.868851</v>
      </c>
      <c r="F111" s="22">
        <v>0.008722</v>
      </c>
      <c r="G111" s="22">
        <v>0.017253</v>
      </c>
      <c r="H111" s="22">
        <v>0.866462</v>
      </c>
      <c r="I111" s="22">
        <v>1</v>
      </c>
      <c r="J111" s="22">
        <v>0.919469</v>
      </c>
      <c r="K111" s="22">
        <v>0.004077</v>
      </c>
      <c r="L111" s="22">
        <v>0.866462</v>
      </c>
      <c r="M111" s="22">
        <v>0.201261</v>
      </c>
      <c r="N111" s="22">
        <v>0.324353</v>
      </c>
      <c r="O111" s="22">
        <v>0.896842</v>
      </c>
      <c r="P111" s="22">
        <v>0.843771</v>
      </c>
      <c r="Q111" s="22">
        <v>0.864904</v>
      </c>
      <c r="R111" s="22">
        <v>0.677575</v>
      </c>
      <c r="S111" s="22">
        <v>0.45665</v>
      </c>
      <c r="T111" s="22">
        <v>0.864805</v>
      </c>
      <c r="U111" s="22">
        <v>0.834777</v>
      </c>
      <c r="V111" s="22">
        <v>0.853691</v>
      </c>
      <c r="W111" s="25">
        <v>0.809341</v>
      </c>
      <c r="X111" s="22">
        <v>252.25</v>
      </c>
      <c r="Y111" s="22">
        <v>71</v>
      </c>
      <c r="Z111" s="22">
        <v>0.25</v>
      </c>
      <c r="AA111" s="22">
        <v>1.155111</v>
      </c>
      <c r="AB111" s="22">
        <v>146.64746</v>
      </c>
      <c r="AC111" s="34" t="s">
        <v>0</v>
      </c>
      <c r="AD111" s="34" t="s">
        <v>0</v>
      </c>
      <c r="AE111" s="34" t="s">
        <v>0</v>
      </c>
      <c r="AF111" s="34" t="s">
        <v>0</v>
      </c>
      <c r="AG111" s="34" t="s">
        <v>0</v>
      </c>
      <c r="AH111" s="34" t="s">
        <v>0</v>
      </c>
      <c r="AI111" s="34" t="s">
        <v>0</v>
      </c>
      <c r="AJ111" s="34" t="s">
        <v>0</v>
      </c>
      <c r="AK111" s="34" t="s">
        <v>0</v>
      </c>
    </row>
    <row r="112" spans="1:37">
      <c r="A112" s="27"/>
      <c r="B112" s="27"/>
      <c r="C112" s="22" t="s">
        <v>70</v>
      </c>
      <c r="D112" s="22">
        <v>0.986897</v>
      </c>
      <c r="E112" s="22">
        <v>0.65349</v>
      </c>
      <c r="F112" s="22">
        <v>0.007726</v>
      </c>
      <c r="G112" s="22">
        <v>0.015245</v>
      </c>
      <c r="H112" s="22">
        <v>0.65912</v>
      </c>
      <c r="I112" s="22">
        <v>0.75</v>
      </c>
      <c r="J112" s="22">
        <v>0.699257</v>
      </c>
      <c r="K112" s="22">
        <v>0.003135</v>
      </c>
      <c r="L112" s="22">
        <v>0.65912</v>
      </c>
      <c r="M112" s="22">
        <v>0.150808</v>
      </c>
      <c r="N112" s="22">
        <v>0.244888</v>
      </c>
      <c r="O112" s="22">
        <v>0.768308</v>
      </c>
      <c r="P112" s="22">
        <v>0.784543</v>
      </c>
      <c r="Q112" s="22">
        <v>0.774755</v>
      </c>
      <c r="R112" s="22">
        <v>0.691366</v>
      </c>
      <c r="S112" s="22">
        <v>0.491115</v>
      </c>
      <c r="T112" s="22">
        <v>0.873075</v>
      </c>
      <c r="U112" s="22">
        <v>0.850354</v>
      </c>
      <c r="V112" s="22">
        <v>0.860459</v>
      </c>
      <c r="W112" s="25">
        <v>0.826725</v>
      </c>
      <c r="X112" s="22">
        <v>172.5</v>
      </c>
      <c r="Y112" s="22">
        <v>106.167</v>
      </c>
      <c r="Z112" s="22">
        <v>0</v>
      </c>
      <c r="AA112" s="22">
        <v>1.136004</v>
      </c>
      <c r="AB112" s="22">
        <v>118.909035</v>
      </c>
      <c r="AC112" s="34" t="s">
        <v>0</v>
      </c>
      <c r="AD112" s="34" t="s">
        <v>0</v>
      </c>
      <c r="AE112" s="34" t="s">
        <v>0</v>
      </c>
      <c r="AF112" s="34" t="s">
        <v>0</v>
      </c>
      <c r="AG112" s="34" t="s">
        <v>0</v>
      </c>
      <c r="AH112" s="34" t="s">
        <v>0</v>
      </c>
      <c r="AI112" s="34" t="s">
        <v>0</v>
      </c>
      <c r="AJ112" s="34" t="s">
        <v>0</v>
      </c>
      <c r="AK112" s="34" t="s">
        <v>0</v>
      </c>
    </row>
    <row r="113" spans="1:37">
      <c r="A113" s="27"/>
      <c r="B113" s="27"/>
      <c r="C113" s="22" t="s">
        <v>71</v>
      </c>
      <c r="D113" s="22">
        <v>0.991451</v>
      </c>
      <c r="E113" s="22">
        <v>0.929862</v>
      </c>
      <c r="F113" s="22">
        <v>0.012287</v>
      </c>
      <c r="G113" s="22">
        <v>0.024224</v>
      </c>
      <c r="H113" s="22">
        <v>0.898401</v>
      </c>
      <c r="I113" s="22">
        <v>1</v>
      </c>
      <c r="J113" s="22">
        <v>0.942857</v>
      </c>
      <c r="K113" s="22">
        <v>0.008343</v>
      </c>
      <c r="L113" s="22">
        <v>0.898401</v>
      </c>
      <c r="M113" s="22">
        <v>0.202029</v>
      </c>
      <c r="N113" s="22">
        <v>0.329044</v>
      </c>
      <c r="O113" s="22">
        <v>0.951558</v>
      </c>
      <c r="P113" s="22">
        <v>0.841096</v>
      </c>
      <c r="Q113" s="22">
        <v>0.892124</v>
      </c>
      <c r="R113" s="22">
        <v>0.691562</v>
      </c>
      <c r="S113" s="22">
        <v>0.45169</v>
      </c>
      <c r="T113" s="22">
        <v>0.88207</v>
      </c>
      <c r="U113" s="22">
        <v>0.847097</v>
      </c>
      <c r="V113" s="22">
        <v>0.865016</v>
      </c>
      <c r="W113" s="25">
        <v>0.816474</v>
      </c>
      <c r="X113" s="22">
        <v>177</v>
      </c>
      <c r="Y113" s="22">
        <v>304.375</v>
      </c>
      <c r="Z113" s="22">
        <v>0</v>
      </c>
      <c r="AA113" s="22">
        <v>0.889065</v>
      </c>
      <c r="AB113" s="22">
        <v>197.636987</v>
      </c>
      <c r="AC113" s="34" t="s">
        <v>0</v>
      </c>
      <c r="AD113" s="34" t="s">
        <v>0</v>
      </c>
      <c r="AE113" s="34" t="s">
        <v>0</v>
      </c>
      <c r="AF113" s="34" t="s">
        <v>0</v>
      </c>
      <c r="AG113" s="34" t="s">
        <v>0</v>
      </c>
      <c r="AH113" s="34" t="s">
        <v>0</v>
      </c>
      <c r="AI113" s="34" t="s">
        <v>0</v>
      </c>
      <c r="AJ113" s="34" t="s">
        <v>0</v>
      </c>
      <c r="AK113" s="34" t="s">
        <v>0</v>
      </c>
    </row>
    <row r="114" spans="1:37">
      <c r="A114" s="27"/>
      <c r="B114" s="28"/>
      <c r="C114" s="22" t="s">
        <v>72</v>
      </c>
      <c r="D114" s="22">
        <v>0.991338</v>
      </c>
      <c r="E114" s="22">
        <v>0.834688</v>
      </c>
      <c r="F114" s="22">
        <v>0.009663</v>
      </c>
      <c r="G114" s="22">
        <v>0.018993</v>
      </c>
      <c r="H114" s="22">
        <v>0.825975</v>
      </c>
      <c r="I114" s="22">
        <v>1</v>
      </c>
      <c r="J114" s="22">
        <v>0.890055</v>
      </c>
      <c r="K114" s="22">
        <v>0.00582</v>
      </c>
      <c r="L114" s="22">
        <v>0.825975</v>
      </c>
      <c r="M114" s="22">
        <v>0.201668</v>
      </c>
      <c r="N114" s="22">
        <v>0.320332</v>
      </c>
      <c r="O114" s="22">
        <v>0.843536</v>
      </c>
      <c r="P114" s="22">
        <v>0.837167</v>
      </c>
      <c r="Q114" s="22">
        <v>0.834901</v>
      </c>
      <c r="R114" s="22">
        <v>0.695628</v>
      </c>
      <c r="S114" s="22">
        <v>0.465889</v>
      </c>
      <c r="T114" s="22">
        <v>0.871699</v>
      </c>
      <c r="U114" s="22">
        <v>0.836924</v>
      </c>
      <c r="V114" s="22">
        <v>0.857641</v>
      </c>
      <c r="W114" s="25">
        <v>0.80811</v>
      </c>
      <c r="X114" s="22">
        <v>178</v>
      </c>
      <c r="Y114" s="22">
        <v>89.875</v>
      </c>
      <c r="Z114" s="22">
        <v>0</v>
      </c>
      <c r="AA114" s="22">
        <v>1.032182</v>
      </c>
      <c r="AB114" s="22">
        <v>135.064789</v>
      </c>
      <c r="AC114" s="34" t="s">
        <v>0</v>
      </c>
      <c r="AD114" s="34" t="s">
        <v>0</v>
      </c>
      <c r="AE114" s="34" t="s">
        <v>0</v>
      </c>
      <c r="AF114" s="34" t="s">
        <v>0</v>
      </c>
      <c r="AG114" s="34" t="s">
        <v>0</v>
      </c>
      <c r="AH114" s="34" t="s">
        <v>0</v>
      </c>
      <c r="AI114" s="34" t="s">
        <v>0</v>
      </c>
      <c r="AJ114" s="34" t="s">
        <v>0</v>
      </c>
      <c r="AK114" s="34" t="s">
        <v>0</v>
      </c>
    </row>
    <row r="115" spans="1:37">
      <c r="A115" s="28"/>
      <c r="B115" s="22" t="s">
        <v>73</v>
      </c>
      <c r="C115" s="22" t="s">
        <v>74</v>
      </c>
      <c r="D115" s="22">
        <v>0.999548</v>
      </c>
      <c r="E115" s="22">
        <v>0.291667</v>
      </c>
      <c r="F115" s="22">
        <v>0.000995</v>
      </c>
      <c r="G115" s="22">
        <v>0.001984</v>
      </c>
      <c r="H115" s="22">
        <v>0.333333</v>
      </c>
      <c r="I115" s="22">
        <v>0.375</v>
      </c>
      <c r="J115" s="22">
        <v>0.35</v>
      </c>
      <c r="K115" s="22">
        <v>0.000941</v>
      </c>
      <c r="L115" s="22">
        <v>0.333333</v>
      </c>
      <c r="M115" s="22">
        <v>0.075181</v>
      </c>
      <c r="N115" s="22">
        <v>0.122038</v>
      </c>
      <c r="O115" s="22">
        <v>0.294467</v>
      </c>
      <c r="P115" s="22">
        <v>0.192794</v>
      </c>
      <c r="Q115" s="22">
        <v>0.217327</v>
      </c>
      <c r="R115" s="22">
        <v>0.68204</v>
      </c>
      <c r="S115" s="22">
        <v>0.41195</v>
      </c>
      <c r="T115" s="22">
        <v>0.872274</v>
      </c>
      <c r="U115" s="22">
        <v>0.825811</v>
      </c>
      <c r="V115" s="22">
        <v>0.862199</v>
      </c>
      <c r="W115" s="25">
        <v>0.804116</v>
      </c>
      <c r="X115" s="22">
        <v>144</v>
      </c>
      <c r="Y115" s="22">
        <v>2457.5</v>
      </c>
      <c r="Z115" s="22">
        <v>0</v>
      </c>
      <c r="AA115" s="22">
        <v>0.041593</v>
      </c>
      <c r="AB115" s="22">
        <v>4</v>
      </c>
      <c r="AC115" s="34" t="s">
        <v>0</v>
      </c>
      <c r="AD115" s="34" t="s">
        <v>0</v>
      </c>
      <c r="AE115" s="34" t="s">
        <v>0</v>
      </c>
      <c r="AF115" s="34" t="s">
        <v>0</v>
      </c>
      <c r="AG115" s="34" t="s">
        <v>0</v>
      </c>
      <c r="AH115" s="34" t="s">
        <v>0</v>
      </c>
      <c r="AI115" s="34" t="s">
        <v>0</v>
      </c>
      <c r="AJ115" s="34" t="s">
        <v>0</v>
      </c>
      <c r="AK115" s="34" t="s">
        <v>0</v>
      </c>
    </row>
    <row r="118" spans="1:37">
      <c r="A118" s="36" t="s">
        <v>100</v>
      </c>
      <c r="B118" s="37" t="s">
        <v>101</v>
      </c>
      <c r="C118" s="38"/>
      <c r="D118" s="38"/>
      <c r="E118" s="38"/>
      <c r="F118" s="38"/>
      <c r="G118" s="38"/>
      <c r="H118" s="38"/>
      <c r="I118" s="38"/>
      <c r="J118" s="38"/>
      <c r="K118" s="38"/>
      <c r="L118" s="39"/>
    </row>
    <row r="119" spans="1:37">
      <c r="A119" s="36" t="s">
        <v>102</v>
      </c>
      <c r="B119" s="37" t="s">
        <v>103</v>
      </c>
      <c r="C119" s="38"/>
      <c r="D119" s="38"/>
      <c r="E119" s="38"/>
      <c r="F119" s="38"/>
      <c r="G119" s="38"/>
      <c r="H119" s="38"/>
      <c r="I119" s="38"/>
      <c r="J119" s="38"/>
      <c r="K119" s="38"/>
      <c r="L119" s="39"/>
    </row>
    <row r="120" spans="1:37">
      <c r="A120" s="36" t="s">
        <v>104</v>
      </c>
      <c r="B120" s="37" t="s">
        <v>105</v>
      </c>
      <c r="C120" s="38"/>
      <c r="D120" s="38"/>
      <c r="E120" s="38"/>
      <c r="F120" s="38"/>
      <c r="G120" s="38"/>
      <c r="H120" s="38"/>
      <c r="I120" s="38"/>
      <c r="J120" s="38"/>
      <c r="K120" s="38"/>
      <c r="L120" s="39"/>
    </row>
    <row r="121" spans="1:37">
      <c r="A121" s="36" t="s">
        <v>106</v>
      </c>
      <c r="B121" s="37" t="s">
        <v>107</v>
      </c>
      <c r="C121" s="38"/>
      <c r="D121" s="38"/>
      <c r="E121" s="38"/>
      <c r="F121" s="38"/>
      <c r="G121" s="38"/>
      <c r="H121" s="38"/>
      <c r="I121" s="38"/>
      <c r="J121" s="38"/>
      <c r="K121" s="38"/>
      <c r="L121" s="39"/>
    </row>
    <row r="122" spans="1:37">
      <c r="A122" s="36" t="s">
        <v>108</v>
      </c>
      <c r="B122" s="37" t="s">
        <v>109</v>
      </c>
      <c r="C122" s="38"/>
      <c r="D122" s="38"/>
      <c r="E122" s="38"/>
      <c r="F122" s="38"/>
      <c r="G122" s="38"/>
      <c r="H122" s="38"/>
      <c r="I122" s="38"/>
      <c r="J122" s="38"/>
      <c r="K122" s="38"/>
      <c r="L122" s="39"/>
    </row>
  </sheetData>
  <mergeCells count="25">
    <mergeCell ref="A40:AK40"/>
    <mergeCell ref="A78:AK78"/>
    <mergeCell ref="B118:L118"/>
    <mergeCell ref="B119:L119"/>
    <mergeCell ref="B120:L120"/>
    <mergeCell ref="B121:L121"/>
    <mergeCell ref="B122:L122"/>
    <mergeCell ref="A4:A39"/>
    <mergeCell ref="A42:A77"/>
    <mergeCell ref="A80:A115"/>
    <mergeCell ref="B4:B6"/>
    <mergeCell ref="B7:B14"/>
    <mergeCell ref="B15:B32"/>
    <mergeCell ref="B33:B34"/>
    <mergeCell ref="B35:B38"/>
    <mergeCell ref="B42:B44"/>
    <mergeCell ref="B45:B52"/>
    <mergeCell ref="B53:B70"/>
    <mergeCell ref="B71:B72"/>
    <mergeCell ref="B73:B76"/>
    <mergeCell ref="B80:B82"/>
    <mergeCell ref="B83:B90"/>
    <mergeCell ref="B91:B108"/>
    <mergeCell ref="B109:B110"/>
    <mergeCell ref="B111:B114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B85"/>
  <sheetViews>
    <sheetView workbookViewId="0">
      <selection activeCell="A1" sqref="A1"/>
    </sheetView>
  </sheetViews>
  <sheetFormatPr defaultColWidth="14" defaultRowHeight="16.5"/>
  <cols>
    <col min="4" max="23" width="16.7083333333333" style="1" customWidth="1"/>
    <col min="24" max="25" width="22.7083333333333" style="1" customWidth="1"/>
    <col min="26" max="26" width="19.7083333333333" style="1" customWidth="1"/>
    <col min="27" max="27" width="30.7083333333333" style="1" customWidth="1"/>
    <col min="28" max="28" width="17.7083333333333" style="1" customWidth="1"/>
  </cols>
  <sheetData>
    <row r="2" spans="1:28">
      <c r="A2" s="22" t="s">
        <v>0</v>
      </c>
      <c r="B2" s="22" t="s">
        <v>0</v>
      </c>
      <c r="C2" s="23" t="s">
        <v>0</v>
      </c>
      <c r="D2" s="24" t="s">
        <v>7</v>
      </c>
      <c r="E2" s="22" t="s">
        <v>8</v>
      </c>
      <c r="F2" s="22" t="s">
        <v>9</v>
      </c>
      <c r="G2" s="22" t="s">
        <v>10</v>
      </c>
      <c r="H2" s="22" t="s">
        <v>11</v>
      </c>
      <c r="I2" s="22" t="s">
        <v>12</v>
      </c>
      <c r="J2" s="22" t="s">
        <v>13</v>
      </c>
      <c r="K2" s="22" t="s">
        <v>14</v>
      </c>
      <c r="L2" s="22" t="s">
        <v>15</v>
      </c>
      <c r="M2" s="22" t="s">
        <v>16</v>
      </c>
      <c r="N2" s="22" t="s">
        <v>17</v>
      </c>
      <c r="O2" s="22" t="s">
        <v>18</v>
      </c>
      <c r="P2" s="22" t="s">
        <v>19</v>
      </c>
      <c r="Q2" s="22" t="s">
        <v>20</v>
      </c>
      <c r="R2" s="22" t="s">
        <v>21</v>
      </c>
      <c r="S2" s="22" t="s">
        <v>22</v>
      </c>
      <c r="T2" s="22" t="s">
        <v>23</v>
      </c>
      <c r="U2" s="22" t="s">
        <v>24</v>
      </c>
      <c r="V2" s="22" t="s">
        <v>25</v>
      </c>
      <c r="W2" s="25" t="s">
        <v>26</v>
      </c>
      <c r="X2" s="22" t="s">
        <v>27</v>
      </c>
      <c r="Y2" s="22" t="s">
        <v>28</v>
      </c>
      <c r="Z2" s="22" t="s">
        <v>29</v>
      </c>
      <c r="AA2" s="24" t="s">
        <v>30</v>
      </c>
      <c r="AB2" s="24" t="s">
        <v>31</v>
      </c>
    </row>
    <row r="3" spans="1:28">
      <c r="A3" s="22" t="s">
        <v>110</v>
      </c>
      <c r="B3" s="22" t="s">
        <v>33</v>
      </c>
      <c r="C3" s="26" t="s">
        <v>34</v>
      </c>
      <c r="D3" s="22">
        <v>0.996925</v>
      </c>
      <c r="E3" s="22">
        <v>0.540716</v>
      </c>
      <c r="F3" s="22">
        <v>0.010731</v>
      </c>
      <c r="G3" s="22">
        <v>0.02103</v>
      </c>
      <c r="H3" s="22">
        <v>0.738889</v>
      </c>
      <c r="I3" s="22">
        <v>1</v>
      </c>
      <c r="J3" s="22">
        <v>0.827715</v>
      </c>
      <c r="K3" s="22">
        <v>0.002279</v>
      </c>
      <c r="L3" s="22">
        <v>0.738889</v>
      </c>
      <c r="M3" s="22">
        <v>0.200316</v>
      </c>
      <c r="N3" s="22">
        <v>0.309285</v>
      </c>
      <c r="O3" s="22">
        <v>0.595845</v>
      </c>
      <c r="P3" s="22">
        <v>0.853609</v>
      </c>
      <c r="Q3" s="22">
        <v>0.636757</v>
      </c>
      <c r="R3" s="22">
        <v>0.778802</v>
      </c>
      <c r="S3" s="22">
        <v>0.300277</v>
      </c>
      <c r="T3" s="22">
        <v>0.986038</v>
      </c>
      <c r="U3" s="22">
        <v>0.948478</v>
      </c>
      <c r="V3" s="22">
        <v>0.961489</v>
      </c>
      <c r="W3" s="25">
        <v>0.881215</v>
      </c>
      <c r="X3" s="22">
        <v>342</v>
      </c>
      <c r="Y3" s="22">
        <v>816.5</v>
      </c>
      <c r="Z3" s="22">
        <v>0.5</v>
      </c>
      <c r="AA3" s="22">
        <v>0.098394</v>
      </c>
      <c r="AB3" s="22">
        <v>7.666667</v>
      </c>
    </row>
    <row r="4" spans="1:28">
      <c r="A4" s="27"/>
      <c r="B4" s="27"/>
      <c r="C4" s="26" t="s">
        <v>35</v>
      </c>
      <c r="D4" s="22">
        <v>0.443009</v>
      </c>
      <c r="E4" s="22">
        <v>0.84148</v>
      </c>
      <c r="F4" s="22">
        <v>0.581046</v>
      </c>
      <c r="G4" s="22">
        <v>0.677866</v>
      </c>
      <c r="H4" s="22">
        <v>0.895579</v>
      </c>
      <c r="I4" s="22">
        <v>1</v>
      </c>
      <c r="J4" s="22">
        <v>0.944878</v>
      </c>
      <c r="K4" s="22">
        <v>0.143276</v>
      </c>
      <c r="L4" s="22">
        <v>0.889473</v>
      </c>
      <c r="M4" s="22">
        <v>0.20477</v>
      </c>
      <c r="N4" s="22">
        <v>0.332853</v>
      </c>
      <c r="O4" s="22">
        <v>0.858337</v>
      </c>
      <c r="P4" s="22">
        <v>0.996316</v>
      </c>
      <c r="Q4" s="22">
        <v>0.918634</v>
      </c>
      <c r="R4" s="22">
        <v>0.807072</v>
      </c>
      <c r="S4" s="22">
        <v>0.428856</v>
      </c>
      <c r="T4" s="22">
        <v>0.985183</v>
      </c>
      <c r="U4" s="22">
        <v>0.954387</v>
      </c>
      <c r="V4" s="22">
        <v>0.961095</v>
      </c>
      <c r="W4" s="25">
        <v>0.897812</v>
      </c>
      <c r="X4" s="22">
        <v>235</v>
      </c>
      <c r="Y4" s="22">
        <v>68</v>
      </c>
      <c r="Z4" s="22">
        <v>0</v>
      </c>
      <c r="AA4" s="22">
        <v>3.047454</v>
      </c>
      <c r="AB4" s="22">
        <v>47.371284</v>
      </c>
    </row>
    <row r="5" spans="1:28">
      <c r="A5" s="27"/>
      <c r="B5" s="28"/>
      <c r="C5" s="26" t="s">
        <v>36</v>
      </c>
      <c r="D5" s="22">
        <v>0.970462</v>
      </c>
      <c r="E5" s="22">
        <v>0.957763</v>
      </c>
      <c r="F5" s="22">
        <v>0.044629</v>
      </c>
      <c r="G5" s="22">
        <v>0.085191</v>
      </c>
      <c r="H5" s="22">
        <v>0.862143</v>
      </c>
      <c r="I5" s="22">
        <v>1</v>
      </c>
      <c r="J5" s="22">
        <v>0.922727</v>
      </c>
      <c r="K5" s="22">
        <v>0.009613</v>
      </c>
      <c r="L5" s="22">
        <v>0.862143</v>
      </c>
      <c r="M5" s="22">
        <v>0.200675</v>
      </c>
      <c r="N5" s="22">
        <v>0.32484</v>
      </c>
      <c r="O5" s="22">
        <v>0.961294</v>
      </c>
      <c r="P5" s="22">
        <v>0.909153</v>
      </c>
      <c r="Q5" s="22">
        <v>0.934054</v>
      </c>
      <c r="R5" s="22">
        <v>0.82727</v>
      </c>
      <c r="S5" s="22">
        <v>0.407854</v>
      </c>
      <c r="T5" s="22">
        <v>0.988752</v>
      </c>
      <c r="U5" s="22">
        <v>0.955241</v>
      </c>
      <c r="V5" s="22">
        <v>0.96852</v>
      </c>
      <c r="W5" s="25">
        <v>0.897552</v>
      </c>
      <c r="X5" s="22">
        <v>408</v>
      </c>
      <c r="Y5" s="22">
        <v>173</v>
      </c>
      <c r="Z5" s="22">
        <v>0.5</v>
      </c>
      <c r="AA5" s="22">
        <v>1.42261</v>
      </c>
      <c r="AB5" s="22">
        <v>93.602273</v>
      </c>
    </row>
    <row r="6" spans="1:28">
      <c r="A6" s="27"/>
      <c r="B6" s="22" t="s">
        <v>37</v>
      </c>
      <c r="C6" s="26" t="s">
        <v>38</v>
      </c>
      <c r="D6" s="22">
        <v>0.999658</v>
      </c>
      <c r="E6" s="22">
        <v>0.5</v>
      </c>
      <c r="F6" s="22">
        <v>0.008448</v>
      </c>
      <c r="G6" s="22">
        <v>0.016615</v>
      </c>
      <c r="H6" s="22">
        <v>0.5</v>
      </c>
      <c r="I6" s="22">
        <v>0.5</v>
      </c>
      <c r="J6" s="22">
        <v>0.5</v>
      </c>
      <c r="K6" s="22">
        <v>0.00254</v>
      </c>
      <c r="L6" s="22">
        <v>0.5</v>
      </c>
      <c r="M6" s="22">
        <v>0.100199</v>
      </c>
      <c r="N6" s="22">
        <v>0.166943</v>
      </c>
      <c r="O6" s="22">
        <v>0.564519</v>
      </c>
      <c r="P6" s="22">
        <v>0.622883</v>
      </c>
      <c r="Q6" s="22">
        <v>0.570112</v>
      </c>
      <c r="R6" s="22">
        <v>0.766774</v>
      </c>
      <c r="S6" s="22">
        <v>0.276206</v>
      </c>
      <c r="T6" s="22">
        <v>0.983744</v>
      </c>
      <c r="U6" s="22">
        <v>0.945474</v>
      </c>
      <c r="V6" s="22">
        <v>0.957071</v>
      </c>
      <c r="W6" s="25">
        <v>0.874435</v>
      </c>
      <c r="X6" s="22" t="s">
        <v>0</v>
      </c>
      <c r="Y6" s="22">
        <v>1429</v>
      </c>
      <c r="Z6" s="22">
        <v>0</v>
      </c>
      <c r="AA6" s="22">
        <v>0.049197</v>
      </c>
      <c r="AB6" s="22">
        <v>2</v>
      </c>
    </row>
    <row r="7" spans="1:28">
      <c r="A7" s="27"/>
      <c r="B7" s="27"/>
      <c r="C7" s="26" t="s">
        <v>39</v>
      </c>
      <c r="D7" s="22">
        <v>0.912895</v>
      </c>
      <c r="E7" s="22">
        <v>0.647532</v>
      </c>
      <c r="F7" s="22">
        <v>0.110911</v>
      </c>
      <c r="G7" s="22">
        <v>0.186978</v>
      </c>
      <c r="H7" s="22">
        <v>0.798387</v>
      </c>
      <c r="I7" s="22">
        <v>1</v>
      </c>
      <c r="J7" s="22">
        <v>0.873737</v>
      </c>
      <c r="K7" s="22">
        <v>0.035702</v>
      </c>
      <c r="L7" s="22">
        <v>0.798387</v>
      </c>
      <c r="M7" s="22">
        <v>0.201235</v>
      </c>
      <c r="N7" s="22">
        <v>0.317943</v>
      </c>
      <c r="O7" s="22">
        <v>0.687111</v>
      </c>
      <c r="P7" s="22">
        <v>0.963933</v>
      </c>
      <c r="Q7" s="22">
        <v>0.763189</v>
      </c>
      <c r="R7" s="22">
        <v>0.783054</v>
      </c>
      <c r="S7" s="22">
        <v>0.34359</v>
      </c>
      <c r="T7" s="22">
        <v>0.983496</v>
      </c>
      <c r="U7" s="22">
        <v>0.947223</v>
      </c>
      <c r="V7" s="22">
        <v>0.957224</v>
      </c>
      <c r="W7" s="25">
        <v>0.880583</v>
      </c>
      <c r="X7" s="22" t="s">
        <v>0</v>
      </c>
      <c r="Y7" s="22">
        <v>173</v>
      </c>
      <c r="Z7" s="22">
        <v>0</v>
      </c>
      <c r="AA7" s="22">
        <v>2.115108</v>
      </c>
      <c r="AB7" s="22">
        <v>57.386447</v>
      </c>
    </row>
    <row r="8" spans="1:28">
      <c r="A8" s="27"/>
      <c r="B8" s="27"/>
      <c r="C8" s="26" t="s">
        <v>40</v>
      </c>
      <c r="D8" s="22">
        <v>1</v>
      </c>
      <c r="E8" s="22">
        <v>0.5</v>
      </c>
      <c r="F8" s="22">
        <v>0.019558</v>
      </c>
      <c r="G8" s="22">
        <v>0.037643</v>
      </c>
      <c r="H8" s="22">
        <v>0.5</v>
      </c>
      <c r="I8" s="22">
        <v>0.5</v>
      </c>
      <c r="J8" s="22">
        <v>0.5</v>
      </c>
      <c r="K8" s="22">
        <v>0.006667</v>
      </c>
      <c r="L8" s="22">
        <v>0.5</v>
      </c>
      <c r="M8" s="22">
        <v>0.101304</v>
      </c>
      <c r="N8" s="22">
        <v>0.168474</v>
      </c>
      <c r="O8" s="22">
        <v>0.5</v>
      </c>
      <c r="P8" s="22">
        <v>0.445334</v>
      </c>
      <c r="Q8" s="22">
        <v>0.471086</v>
      </c>
      <c r="R8" s="22">
        <v>0.811346</v>
      </c>
      <c r="S8" s="22">
        <v>0.424938</v>
      </c>
      <c r="T8" s="22">
        <v>0.986165</v>
      </c>
      <c r="U8" s="22">
        <v>0.950942</v>
      </c>
      <c r="V8" s="22">
        <v>0.962529</v>
      </c>
      <c r="W8" s="25">
        <v>0.890502</v>
      </c>
      <c r="X8" s="22" t="s">
        <v>0</v>
      </c>
      <c r="Y8" s="22">
        <v>2856</v>
      </c>
      <c r="Z8" s="22">
        <v>0</v>
      </c>
      <c r="AA8" s="22">
        <v>0</v>
      </c>
      <c r="AB8" s="22" t="s">
        <v>0</v>
      </c>
    </row>
    <row r="9" spans="1:28">
      <c r="A9" s="27"/>
      <c r="B9" s="27"/>
      <c r="C9" s="26" t="s">
        <v>41</v>
      </c>
      <c r="D9" s="22">
        <v>0.148328</v>
      </c>
      <c r="E9" s="22">
        <v>0.856565</v>
      </c>
      <c r="F9" s="22">
        <v>0.793124</v>
      </c>
      <c r="G9" s="22">
        <v>0.819024</v>
      </c>
      <c r="H9" s="22">
        <v>0.94076</v>
      </c>
      <c r="I9" s="22">
        <v>1</v>
      </c>
      <c r="J9" s="22">
        <v>0.969476</v>
      </c>
      <c r="K9" s="22">
        <v>0.215562</v>
      </c>
      <c r="L9" s="22">
        <v>0.93131</v>
      </c>
      <c r="M9" s="22">
        <v>0.208883</v>
      </c>
      <c r="N9" s="22">
        <v>0.341175</v>
      </c>
      <c r="O9" s="22">
        <v>0.870684</v>
      </c>
      <c r="P9" s="22">
        <v>0.99916</v>
      </c>
      <c r="Q9" s="22">
        <v>0.928229</v>
      </c>
      <c r="R9" s="22">
        <v>0.811838</v>
      </c>
      <c r="S9" s="22">
        <v>0.464904</v>
      </c>
      <c r="T9" s="22">
        <v>0.985777</v>
      </c>
      <c r="U9" s="22">
        <v>0.955107</v>
      </c>
      <c r="V9" s="22">
        <v>0.962151</v>
      </c>
      <c r="W9" s="25">
        <v>0.90032</v>
      </c>
      <c r="X9" s="22">
        <v>236</v>
      </c>
      <c r="Y9" s="22">
        <v>15</v>
      </c>
      <c r="Z9" s="22">
        <v>0</v>
      </c>
      <c r="AA9" s="22">
        <v>2.766624</v>
      </c>
      <c r="AB9" s="22">
        <v>52.309289</v>
      </c>
    </row>
    <row r="10" spans="1:28">
      <c r="A10" s="27"/>
      <c r="B10" s="27"/>
      <c r="C10" s="26" t="s">
        <v>42</v>
      </c>
      <c r="D10" s="22">
        <v>0.830059</v>
      </c>
      <c r="E10" s="22">
        <v>0.754169</v>
      </c>
      <c r="F10" s="22">
        <v>0.183406</v>
      </c>
      <c r="G10" s="22">
        <v>0.293061</v>
      </c>
      <c r="H10" s="22">
        <v>0.871861</v>
      </c>
      <c r="I10" s="22">
        <v>1</v>
      </c>
      <c r="J10" s="22">
        <v>0.929679</v>
      </c>
      <c r="K10" s="22">
        <v>0.030605</v>
      </c>
      <c r="L10" s="22">
        <v>0.871861</v>
      </c>
      <c r="M10" s="22">
        <v>0.200565</v>
      </c>
      <c r="N10" s="22">
        <v>0.325703</v>
      </c>
      <c r="O10" s="22">
        <v>0.785459</v>
      </c>
      <c r="P10" s="22">
        <v>0.991333</v>
      </c>
      <c r="Q10" s="22">
        <v>0.862947</v>
      </c>
      <c r="R10" s="22">
        <v>0.810895</v>
      </c>
      <c r="S10" s="22">
        <v>0.434343</v>
      </c>
      <c r="T10" s="22">
        <v>0.986497</v>
      </c>
      <c r="U10" s="22">
        <v>0.956302</v>
      </c>
      <c r="V10" s="22">
        <v>0.96359</v>
      </c>
      <c r="W10" s="25">
        <v>0.901496</v>
      </c>
      <c r="X10" s="22">
        <v>234</v>
      </c>
      <c r="Y10" s="22">
        <v>113</v>
      </c>
      <c r="Z10" s="22">
        <v>0</v>
      </c>
      <c r="AA10" s="22">
        <v>6.744716</v>
      </c>
      <c r="AB10" s="22">
        <v>21.302459</v>
      </c>
    </row>
    <row r="11" spans="1:28">
      <c r="A11" s="27"/>
      <c r="B11" s="27"/>
      <c r="C11" s="26" t="s">
        <v>43</v>
      </c>
      <c r="D11" s="22">
        <v>1</v>
      </c>
      <c r="E11" s="22">
        <v>0.5</v>
      </c>
      <c r="F11" s="22">
        <v>0.002893</v>
      </c>
      <c r="G11" s="22">
        <v>0.005753</v>
      </c>
      <c r="H11" s="22">
        <v>0.5</v>
      </c>
      <c r="I11" s="22">
        <v>0.5</v>
      </c>
      <c r="J11" s="22">
        <v>0.5</v>
      </c>
      <c r="K11" s="22">
        <v>0.001733</v>
      </c>
      <c r="L11" s="22">
        <v>0.5</v>
      </c>
      <c r="M11" s="22">
        <v>0.100178</v>
      </c>
      <c r="N11" s="22">
        <v>0.166914</v>
      </c>
      <c r="O11" s="22">
        <v>0.565287</v>
      </c>
      <c r="P11" s="22">
        <v>0.547033</v>
      </c>
      <c r="Q11" s="22">
        <v>0.526118</v>
      </c>
      <c r="R11" s="22">
        <v>0.788693</v>
      </c>
      <c r="S11" s="22">
        <v>0.356902</v>
      </c>
      <c r="T11" s="22">
        <v>0.984004</v>
      </c>
      <c r="U11" s="22">
        <v>0.947486</v>
      </c>
      <c r="V11" s="22">
        <v>0.95807</v>
      </c>
      <c r="W11" s="25">
        <v>0.88071</v>
      </c>
      <c r="X11" s="22" t="s">
        <v>0</v>
      </c>
      <c r="Y11" s="22">
        <v>4537</v>
      </c>
      <c r="Z11" s="22">
        <v>0</v>
      </c>
      <c r="AA11" s="22">
        <v>0</v>
      </c>
      <c r="AB11" s="22" t="s">
        <v>0</v>
      </c>
    </row>
    <row r="12" spans="1:28">
      <c r="A12" s="27"/>
      <c r="B12" s="27"/>
      <c r="C12" s="29" t="s">
        <v>44</v>
      </c>
      <c r="D12" s="22">
        <v>0.943836</v>
      </c>
      <c r="E12" s="22">
        <v>0.674196</v>
      </c>
      <c r="F12" s="22">
        <v>0.065617</v>
      </c>
      <c r="G12" s="22">
        <v>0.118088</v>
      </c>
      <c r="H12" s="22">
        <v>0.730347</v>
      </c>
      <c r="I12" s="22">
        <v>1</v>
      </c>
      <c r="J12" s="22">
        <v>0.82166</v>
      </c>
      <c r="K12" s="22">
        <v>0.026115</v>
      </c>
      <c r="L12" s="22">
        <v>0.730347</v>
      </c>
      <c r="M12" s="22">
        <v>0.201056</v>
      </c>
      <c r="N12" s="22">
        <v>0.309078</v>
      </c>
      <c r="O12" s="22">
        <v>0.705951</v>
      </c>
      <c r="P12" s="22">
        <v>0.970048</v>
      </c>
      <c r="Q12" s="22">
        <v>0.784552</v>
      </c>
      <c r="R12" s="22">
        <v>0.799639</v>
      </c>
      <c r="S12" s="22">
        <v>0.425007</v>
      </c>
      <c r="T12" s="22">
        <v>0.984366</v>
      </c>
      <c r="U12" s="22">
        <v>0.950649</v>
      </c>
      <c r="V12" s="22">
        <v>0.959101</v>
      </c>
      <c r="W12" s="25">
        <v>0.890152</v>
      </c>
      <c r="X12" s="22">
        <v>233</v>
      </c>
      <c r="Y12" s="22">
        <v>113.5</v>
      </c>
      <c r="Z12" s="22">
        <v>0</v>
      </c>
      <c r="AA12" s="22">
        <v>1.568817</v>
      </c>
      <c r="AB12" s="22">
        <v>99.108974</v>
      </c>
    </row>
    <row r="13" spans="1:28">
      <c r="A13" s="27"/>
      <c r="B13" s="28"/>
      <c r="C13" s="26" t="s">
        <v>45</v>
      </c>
      <c r="D13" s="22">
        <v>0.779854</v>
      </c>
      <c r="E13" s="22">
        <v>0.744688</v>
      </c>
      <c r="F13" s="22">
        <v>0.234273</v>
      </c>
      <c r="G13" s="22">
        <v>0.350375</v>
      </c>
      <c r="H13" s="22">
        <v>0.88229</v>
      </c>
      <c r="I13" s="22">
        <v>1</v>
      </c>
      <c r="J13" s="22">
        <v>0.935874</v>
      </c>
      <c r="K13" s="22">
        <v>0.053377</v>
      </c>
      <c r="L13" s="22">
        <v>0.88229</v>
      </c>
      <c r="M13" s="22">
        <v>0.20163</v>
      </c>
      <c r="N13" s="22">
        <v>0.327887</v>
      </c>
      <c r="O13" s="22">
        <v>0.773794</v>
      </c>
      <c r="P13" s="22">
        <v>0.983926</v>
      </c>
      <c r="Q13" s="22">
        <v>0.848749</v>
      </c>
      <c r="R13" s="22">
        <v>0.786899</v>
      </c>
      <c r="S13" s="22">
        <v>0.354536</v>
      </c>
      <c r="T13" s="22">
        <v>0.984136</v>
      </c>
      <c r="U13" s="22">
        <v>0.948117</v>
      </c>
      <c r="V13" s="22">
        <v>0.958221</v>
      </c>
      <c r="W13" s="25">
        <v>0.882472</v>
      </c>
      <c r="X13" s="22">
        <v>20</v>
      </c>
      <c r="Y13" s="22">
        <v>114</v>
      </c>
      <c r="Z13" s="22">
        <v>0</v>
      </c>
      <c r="AA13" s="22">
        <v>2.920354</v>
      </c>
      <c r="AB13" s="22">
        <v>50.699668</v>
      </c>
    </row>
    <row r="14" spans="1:28">
      <c r="A14" s="27"/>
      <c r="B14" s="30" t="s">
        <v>46</v>
      </c>
      <c r="C14" s="26" t="s">
        <v>47</v>
      </c>
      <c r="D14" s="22">
        <v>0.582629</v>
      </c>
      <c r="E14" s="22">
        <v>0.856083</v>
      </c>
      <c r="F14" s="22">
        <v>0.397828</v>
      </c>
      <c r="G14" s="22">
        <v>0.539675</v>
      </c>
      <c r="H14" s="22">
        <v>0.848236</v>
      </c>
      <c r="I14" s="22">
        <v>1</v>
      </c>
      <c r="J14" s="22">
        <v>0.913232</v>
      </c>
      <c r="K14" s="22">
        <v>0.036182</v>
      </c>
      <c r="L14" s="22">
        <v>0.848236</v>
      </c>
      <c r="M14" s="22">
        <v>0.201278</v>
      </c>
      <c r="N14" s="22">
        <v>0.324266</v>
      </c>
      <c r="O14" s="22">
        <v>0.867754</v>
      </c>
      <c r="P14" s="22">
        <v>0.997752</v>
      </c>
      <c r="Q14" s="22">
        <v>0.92612</v>
      </c>
      <c r="R14" s="22">
        <v>0.856129</v>
      </c>
      <c r="S14" s="22">
        <v>0.496914</v>
      </c>
      <c r="T14" s="22">
        <v>0.991727</v>
      </c>
      <c r="U14" s="22">
        <v>0.959488</v>
      </c>
      <c r="V14" s="22">
        <v>0.976567</v>
      </c>
      <c r="W14" s="25">
        <v>0.909389</v>
      </c>
      <c r="X14" s="22">
        <v>236</v>
      </c>
      <c r="Y14" s="22">
        <v>11.5</v>
      </c>
      <c r="Z14" s="22">
        <v>0</v>
      </c>
      <c r="AA14" s="22">
        <v>8.275597</v>
      </c>
      <c r="AB14" s="22">
        <v>17.579822</v>
      </c>
    </row>
    <row r="15" spans="1:28">
      <c r="A15" s="27"/>
      <c r="B15" s="27"/>
      <c r="C15" s="26" t="s">
        <v>48</v>
      </c>
      <c r="D15" s="22">
        <v>0.979008</v>
      </c>
      <c r="E15" s="22">
        <v>0.805081</v>
      </c>
      <c r="F15" s="22">
        <v>0.016974</v>
      </c>
      <c r="G15" s="22">
        <v>0.033234</v>
      </c>
      <c r="H15" s="22">
        <v>0.810151</v>
      </c>
      <c r="I15" s="22">
        <v>1</v>
      </c>
      <c r="J15" s="22">
        <v>0.886169</v>
      </c>
      <c r="K15" s="22">
        <v>0.001524</v>
      </c>
      <c r="L15" s="22">
        <v>0.810151</v>
      </c>
      <c r="M15" s="22">
        <v>0.200189</v>
      </c>
      <c r="N15" s="22">
        <v>0.318937</v>
      </c>
      <c r="O15" s="22">
        <v>0.818179</v>
      </c>
      <c r="P15" s="22">
        <v>0.978922</v>
      </c>
      <c r="Q15" s="22">
        <v>0.884616</v>
      </c>
      <c r="R15" s="22">
        <v>0.837429</v>
      </c>
      <c r="S15" s="22">
        <v>0.460188</v>
      </c>
      <c r="T15" s="22">
        <v>0.9895</v>
      </c>
      <c r="U15" s="22">
        <v>0.959915</v>
      </c>
      <c r="V15" s="22">
        <v>0.970796</v>
      </c>
      <c r="W15" s="25">
        <v>0.909455</v>
      </c>
      <c r="X15" s="22">
        <v>236</v>
      </c>
      <c r="Y15" s="22">
        <v>70.5</v>
      </c>
      <c r="Z15" s="22">
        <v>0</v>
      </c>
      <c r="AA15" s="22">
        <v>2.66823</v>
      </c>
      <c r="AB15" s="22">
        <v>53.74641</v>
      </c>
    </row>
    <row r="16" spans="1:28">
      <c r="A16" s="27"/>
      <c r="B16" s="27"/>
      <c r="C16" s="26" t="s">
        <v>49</v>
      </c>
      <c r="D16" s="22">
        <v>0.15974</v>
      </c>
      <c r="E16" s="22">
        <v>0.856548</v>
      </c>
      <c r="F16" s="22">
        <v>0.786807</v>
      </c>
      <c r="G16" s="22">
        <v>0.815412</v>
      </c>
      <c r="H16" s="22">
        <v>0.912008</v>
      </c>
      <c r="I16" s="22">
        <v>1</v>
      </c>
      <c r="J16" s="22">
        <v>0.953964</v>
      </c>
      <c r="K16" s="22">
        <v>0.214515</v>
      </c>
      <c r="L16" s="22">
        <v>0.90088</v>
      </c>
      <c r="M16" s="22">
        <v>0.210635</v>
      </c>
      <c r="N16" s="22">
        <v>0.341311</v>
      </c>
      <c r="O16" s="22">
        <v>0.870719</v>
      </c>
      <c r="P16" s="22">
        <v>0.99899</v>
      </c>
      <c r="Q16" s="22">
        <v>0.928155</v>
      </c>
      <c r="R16" s="22">
        <v>0.81529</v>
      </c>
      <c r="S16" s="22">
        <v>0.43908</v>
      </c>
      <c r="T16" s="22">
        <v>0.986459</v>
      </c>
      <c r="U16" s="22">
        <v>0.95441</v>
      </c>
      <c r="V16" s="22">
        <v>0.963543</v>
      </c>
      <c r="W16" s="25">
        <v>0.89812</v>
      </c>
      <c r="X16" s="22">
        <v>236</v>
      </c>
      <c r="Y16" s="22">
        <v>15</v>
      </c>
      <c r="Z16" s="22">
        <v>0</v>
      </c>
      <c r="AA16" s="22">
        <v>2.633386</v>
      </c>
      <c r="AB16" s="22">
        <v>55.676587</v>
      </c>
    </row>
    <row r="17" spans="1:28">
      <c r="A17" s="27"/>
      <c r="B17" s="27"/>
      <c r="C17" s="26" t="s">
        <v>50</v>
      </c>
      <c r="D17" s="22">
        <v>0.879493</v>
      </c>
      <c r="E17" s="22">
        <v>0.827645</v>
      </c>
      <c r="F17" s="22">
        <v>0.139838</v>
      </c>
      <c r="G17" s="22">
        <v>0.238321</v>
      </c>
      <c r="H17" s="22">
        <v>0.846984</v>
      </c>
      <c r="I17" s="22">
        <v>1</v>
      </c>
      <c r="J17" s="22">
        <v>0.912117</v>
      </c>
      <c r="K17" s="22">
        <v>0.030434</v>
      </c>
      <c r="L17" s="22">
        <v>0.846984</v>
      </c>
      <c r="M17" s="22">
        <v>0.200851</v>
      </c>
      <c r="N17" s="22">
        <v>0.323549</v>
      </c>
      <c r="O17" s="22">
        <v>0.844313</v>
      </c>
      <c r="P17" s="22">
        <v>0.993089</v>
      </c>
      <c r="Q17" s="22">
        <v>0.905982</v>
      </c>
      <c r="R17" s="22">
        <v>0.865975</v>
      </c>
      <c r="S17" s="22">
        <v>0.56824</v>
      </c>
      <c r="T17" s="22">
        <v>0.990747</v>
      </c>
      <c r="U17" s="22">
        <v>0.966746</v>
      </c>
      <c r="V17" s="22">
        <v>0.974721</v>
      </c>
      <c r="W17" s="25">
        <v>0.926655</v>
      </c>
      <c r="X17" s="22">
        <v>376</v>
      </c>
      <c r="Y17" s="22">
        <v>48.5</v>
      </c>
      <c r="Z17" s="22">
        <v>0.5</v>
      </c>
      <c r="AA17" s="22">
        <v>4.347394</v>
      </c>
      <c r="AB17" s="22">
        <v>33.453125</v>
      </c>
    </row>
    <row r="18" spans="1:28">
      <c r="A18" s="27"/>
      <c r="B18" s="27"/>
      <c r="C18" s="26" t="s">
        <v>51</v>
      </c>
      <c r="D18" s="22">
        <v>0.998391</v>
      </c>
      <c r="E18" s="22">
        <v>0.71382</v>
      </c>
      <c r="F18" s="22">
        <v>0.004245</v>
      </c>
      <c r="G18" s="22">
        <v>0.008437</v>
      </c>
      <c r="H18" s="22">
        <v>0.690972</v>
      </c>
      <c r="I18" s="22">
        <v>1</v>
      </c>
      <c r="J18" s="22">
        <v>0.791563</v>
      </c>
      <c r="K18" s="22">
        <v>0.001324</v>
      </c>
      <c r="L18" s="22">
        <v>0.690972</v>
      </c>
      <c r="M18" s="22">
        <v>0.200277</v>
      </c>
      <c r="N18" s="22">
        <v>0.303066</v>
      </c>
      <c r="O18" s="22">
        <v>0.72065</v>
      </c>
      <c r="P18" s="22">
        <v>0.778924</v>
      </c>
      <c r="Q18" s="22">
        <v>0.736443</v>
      </c>
      <c r="R18" s="22">
        <v>0.856566</v>
      </c>
      <c r="S18" s="22">
        <v>0.550771</v>
      </c>
      <c r="T18" s="22">
        <v>0.989231</v>
      </c>
      <c r="U18" s="22">
        <v>0.96205</v>
      </c>
      <c r="V18" s="22">
        <v>0.97086</v>
      </c>
      <c r="W18" s="25">
        <v>0.917105</v>
      </c>
      <c r="X18" s="22" t="s">
        <v>0</v>
      </c>
      <c r="Y18" s="22">
        <v>2834</v>
      </c>
      <c r="Z18" s="22">
        <v>0</v>
      </c>
      <c r="AA18" s="22">
        <v>0.207034</v>
      </c>
      <c r="AB18" s="22">
        <v>400.4</v>
      </c>
    </row>
    <row r="19" spans="1:28">
      <c r="A19" s="27"/>
      <c r="B19" s="27"/>
      <c r="C19" s="26" t="s">
        <v>52</v>
      </c>
      <c r="D19" s="22">
        <v>0.990296</v>
      </c>
      <c r="E19" s="22">
        <v>0.867391</v>
      </c>
      <c r="F19" s="22">
        <v>0.010025</v>
      </c>
      <c r="G19" s="22">
        <v>0.01982</v>
      </c>
      <c r="H19" s="22">
        <v>0.879805</v>
      </c>
      <c r="I19" s="22">
        <v>1</v>
      </c>
      <c r="J19" s="22">
        <v>0.934824</v>
      </c>
      <c r="K19" s="22">
        <v>0.000862</v>
      </c>
      <c r="L19" s="22">
        <v>0.879805</v>
      </c>
      <c r="M19" s="22">
        <v>0.200178</v>
      </c>
      <c r="N19" s="22">
        <v>0.325884</v>
      </c>
      <c r="O19" s="22">
        <v>0.878988</v>
      </c>
      <c r="P19" s="22">
        <v>0.98965</v>
      </c>
      <c r="Q19" s="22">
        <v>0.93017</v>
      </c>
      <c r="R19" s="22">
        <v>0.857184</v>
      </c>
      <c r="S19" s="22">
        <v>0.456964</v>
      </c>
      <c r="T19" s="22">
        <v>0.98711</v>
      </c>
      <c r="U19" s="22">
        <v>0.956922</v>
      </c>
      <c r="V19" s="22">
        <v>0.963719</v>
      </c>
      <c r="W19" s="25">
        <v>0.905201</v>
      </c>
      <c r="X19" s="22">
        <v>426</v>
      </c>
      <c r="Y19" s="22">
        <v>31.5</v>
      </c>
      <c r="Z19" s="22">
        <v>0.5</v>
      </c>
      <c r="AA19" s="22">
        <v>1.346414</v>
      </c>
      <c r="AB19" s="22">
        <v>106.282407</v>
      </c>
    </row>
    <row r="20" spans="1:28">
      <c r="A20" s="27"/>
      <c r="B20" s="27"/>
      <c r="C20" s="26" t="s">
        <v>53</v>
      </c>
      <c r="D20" s="30">
        <v>0.999317</v>
      </c>
      <c r="E20" s="30">
        <v>0.910088</v>
      </c>
      <c r="F20" s="30">
        <v>0.005129</v>
      </c>
      <c r="G20" s="30">
        <v>0.010179</v>
      </c>
      <c r="H20" s="30">
        <v>0.859375</v>
      </c>
      <c r="I20" s="30">
        <v>1</v>
      </c>
      <c r="J20" s="30">
        <v>0.920635</v>
      </c>
      <c r="K20" s="30">
        <v>0.001755</v>
      </c>
      <c r="L20" s="30">
        <v>0.859375</v>
      </c>
      <c r="M20" s="30">
        <v>0.200322</v>
      </c>
      <c r="N20" s="30">
        <v>0.324086</v>
      </c>
      <c r="O20" s="30">
        <v>0.916992</v>
      </c>
      <c r="P20" s="30">
        <v>0.869336</v>
      </c>
      <c r="Q20" s="30">
        <v>0.892523</v>
      </c>
      <c r="R20" s="30">
        <v>0.841295</v>
      </c>
      <c r="S20" s="30">
        <v>0.513102</v>
      </c>
      <c r="T20" s="30">
        <v>0.988965</v>
      </c>
      <c r="U20" s="30">
        <v>0.959948</v>
      </c>
      <c r="V20" s="30">
        <v>0.96961</v>
      </c>
      <c r="W20" s="31">
        <v>0.911362</v>
      </c>
      <c r="X20" s="30" t="s">
        <v>0</v>
      </c>
      <c r="Y20" s="30">
        <v>1470.5</v>
      </c>
      <c r="Z20" s="30">
        <v>0</v>
      </c>
      <c r="AA20" s="30">
        <v>0.049197</v>
      </c>
      <c r="AB20" s="30">
        <v>1525</v>
      </c>
    </row>
    <row r="21" spans="1:28">
      <c r="A21" s="27"/>
      <c r="B21" s="27"/>
      <c r="C21" s="26" t="s">
        <v>54</v>
      </c>
      <c r="D21" s="22">
        <v>0.739104</v>
      </c>
      <c r="E21" s="22">
        <v>0.748329</v>
      </c>
      <c r="F21" s="22">
        <v>0.271782</v>
      </c>
      <c r="G21" s="22">
        <v>0.394656</v>
      </c>
      <c r="H21" s="22">
        <v>0.904247</v>
      </c>
      <c r="I21" s="22">
        <v>1</v>
      </c>
      <c r="J21" s="22">
        <v>0.949012</v>
      </c>
      <c r="K21" s="22">
        <v>0.029997</v>
      </c>
      <c r="L21" s="22">
        <v>0.902656</v>
      </c>
      <c r="M21" s="22">
        <v>0.200674</v>
      </c>
      <c r="N21" s="22">
        <v>0.328189</v>
      </c>
      <c r="O21" s="22">
        <v>0.776269</v>
      </c>
      <c r="P21" s="22">
        <v>0.994768</v>
      </c>
      <c r="Q21" s="22">
        <v>0.857263</v>
      </c>
      <c r="R21" s="22">
        <v>0.78895</v>
      </c>
      <c r="S21" s="22">
        <v>0.402769</v>
      </c>
      <c r="T21" s="22">
        <v>0.983924</v>
      </c>
      <c r="U21" s="22">
        <v>0.948975</v>
      </c>
      <c r="V21" s="22">
        <v>0.957797</v>
      </c>
      <c r="W21" s="22">
        <v>0.886593</v>
      </c>
      <c r="X21" s="22">
        <v>236</v>
      </c>
      <c r="Y21" s="22">
        <v>71.5</v>
      </c>
      <c r="Z21" s="22">
        <v>0</v>
      </c>
      <c r="AA21" s="22">
        <v>9.591966</v>
      </c>
      <c r="AB21" s="22">
        <v>14.98344</v>
      </c>
    </row>
    <row r="22" spans="1:28">
      <c r="A22" s="27"/>
      <c r="B22" s="27"/>
      <c r="C22" s="26" t="s">
        <v>55</v>
      </c>
      <c r="D22" s="32">
        <v>0.996683</v>
      </c>
      <c r="E22" s="32">
        <v>0.747886</v>
      </c>
      <c r="F22" s="32">
        <v>0.007979</v>
      </c>
      <c r="G22" s="32">
        <v>0.015777</v>
      </c>
      <c r="H22" s="32">
        <v>0.815018</v>
      </c>
      <c r="I22" s="32">
        <v>1</v>
      </c>
      <c r="J22" s="32">
        <v>0.889325</v>
      </c>
      <c r="K22" s="32">
        <v>0.001639</v>
      </c>
      <c r="L22" s="32">
        <v>0.815018</v>
      </c>
      <c r="M22" s="32">
        <v>0.200269</v>
      </c>
      <c r="N22" s="32">
        <v>0.319476</v>
      </c>
      <c r="O22" s="32">
        <v>0.770142</v>
      </c>
      <c r="P22" s="32">
        <v>0.945315</v>
      </c>
      <c r="Q22" s="32">
        <v>0.841477</v>
      </c>
      <c r="R22" s="32">
        <v>0.839271</v>
      </c>
      <c r="S22" s="32">
        <v>0.527231</v>
      </c>
      <c r="T22" s="32">
        <v>0.989252</v>
      </c>
      <c r="U22" s="32">
        <v>0.960784</v>
      </c>
      <c r="V22" s="32">
        <v>0.970102</v>
      </c>
      <c r="W22" s="33">
        <v>0.913179</v>
      </c>
      <c r="X22" s="32">
        <v>236</v>
      </c>
      <c r="Y22" s="32">
        <v>151</v>
      </c>
      <c r="Z22" s="32">
        <v>0</v>
      </c>
      <c r="AA22" s="32">
        <v>0.352918</v>
      </c>
      <c r="AB22" s="32">
        <v>239.875</v>
      </c>
    </row>
    <row r="23" spans="1:28">
      <c r="A23" s="27"/>
      <c r="B23" s="27"/>
      <c r="C23" s="26" t="s">
        <v>56</v>
      </c>
      <c r="D23" s="22">
        <v>0.999829</v>
      </c>
      <c r="E23" s="22">
        <v>0.611111</v>
      </c>
      <c r="F23" s="22">
        <v>0.007185</v>
      </c>
      <c r="G23" s="22">
        <v>0.014186</v>
      </c>
      <c r="H23" s="22">
        <v>0.568182</v>
      </c>
      <c r="I23" s="22">
        <v>1</v>
      </c>
      <c r="J23" s="22">
        <v>0.62</v>
      </c>
      <c r="K23" s="22">
        <v>0.00356</v>
      </c>
      <c r="L23" s="22">
        <v>0.568182</v>
      </c>
      <c r="M23" s="22">
        <v>0.200726</v>
      </c>
      <c r="N23" s="22">
        <v>0.248131</v>
      </c>
      <c r="O23" s="22">
        <v>0.658064</v>
      </c>
      <c r="P23" s="22">
        <v>0.799099</v>
      </c>
      <c r="Q23" s="22">
        <v>0.668624</v>
      </c>
      <c r="R23" s="22">
        <v>0.807874</v>
      </c>
      <c r="S23" s="22">
        <v>0.370195</v>
      </c>
      <c r="T23" s="22">
        <v>0.987462</v>
      </c>
      <c r="U23" s="22">
        <v>0.9504</v>
      </c>
      <c r="V23" s="22">
        <v>0.965105</v>
      </c>
      <c r="W23" s="25">
        <v>0.886394</v>
      </c>
      <c r="X23" s="22" t="s">
        <v>0</v>
      </c>
      <c r="Y23" s="22">
        <v>2895</v>
      </c>
      <c r="Z23" s="22">
        <v>0</v>
      </c>
      <c r="AA23" s="22">
        <v>0.024599</v>
      </c>
      <c r="AB23" s="22" t="s">
        <v>0</v>
      </c>
    </row>
    <row r="24" spans="1:28">
      <c r="A24" s="27"/>
      <c r="B24" s="27"/>
      <c r="C24" s="26" t="s">
        <v>57</v>
      </c>
      <c r="D24" s="22">
        <v>0.997378</v>
      </c>
      <c r="E24" s="22">
        <v>0.833333</v>
      </c>
      <c r="F24" s="22">
        <v>0.006207</v>
      </c>
      <c r="G24" s="22">
        <v>0.012314</v>
      </c>
      <c r="H24" s="22">
        <v>0.821429</v>
      </c>
      <c r="I24" s="22">
        <v>1</v>
      </c>
      <c r="J24" s="22">
        <v>0.891304</v>
      </c>
      <c r="K24" s="22">
        <v>0.001671</v>
      </c>
      <c r="L24" s="22">
        <v>0.821429</v>
      </c>
      <c r="M24" s="22">
        <v>0.200204</v>
      </c>
      <c r="N24" s="22">
        <v>0.319461</v>
      </c>
      <c r="O24" s="22">
        <v>0.842454</v>
      </c>
      <c r="P24" s="22">
        <v>0.940433</v>
      </c>
      <c r="Q24" s="22">
        <v>0.882701</v>
      </c>
      <c r="R24" s="22">
        <v>0.859364</v>
      </c>
      <c r="S24" s="22">
        <v>0.498403</v>
      </c>
      <c r="T24" s="22">
        <v>0.991117</v>
      </c>
      <c r="U24" s="22">
        <v>0.962507</v>
      </c>
      <c r="V24" s="22">
        <v>0.974879</v>
      </c>
      <c r="W24" s="25">
        <v>0.915441</v>
      </c>
      <c r="X24" s="22" t="s">
        <v>0</v>
      </c>
      <c r="Y24" s="22">
        <v>926</v>
      </c>
      <c r="Z24" s="22">
        <v>0</v>
      </c>
      <c r="AA24" s="22">
        <v>0.352918</v>
      </c>
      <c r="AB24" s="22">
        <v>473.375</v>
      </c>
    </row>
    <row r="25" spans="1:28">
      <c r="A25" s="27"/>
      <c r="B25" s="27"/>
      <c r="C25" s="26" t="s">
        <v>58</v>
      </c>
      <c r="D25" s="22">
        <v>1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0.802731</v>
      </c>
      <c r="S25" s="22">
        <v>0.349113</v>
      </c>
      <c r="T25" s="22">
        <v>0.987619</v>
      </c>
      <c r="U25" s="22">
        <v>0.953069</v>
      </c>
      <c r="V25" s="22">
        <v>0.965468</v>
      </c>
      <c r="W25" s="25">
        <v>0.891902</v>
      </c>
      <c r="X25" s="22" t="s">
        <v>0</v>
      </c>
      <c r="Y25" s="22" t="s">
        <v>0</v>
      </c>
      <c r="Z25" s="22">
        <v>0</v>
      </c>
      <c r="AA25" s="22">
        <v>0</v>
      </c>
      <c r="AB25" s="22" t="s">
        <v>0</v>
      </c>
    </row>
    <row r="26" spans="1:28">
      <c r="A26" s="27"/>
      <c r="B26" s="27"/>
      <c r="C26" s="26" t="s">
        <v>59</v>
      </c>
      <c r="D26" s="22">
        <v>0.420681</v>
      </c>
      <c r="E26" s="22">
        <v>0.84346</v>
      </c>
      <c r="F26" s="22">
        <v>0.640586</v>
      </c>
      <c r="G26" s="22">
        <v>0.722807</v>
      </c>
      <c r="H26" s="22">
        <v>0.96875</v>
      </c>
      <c r="I26" s="22">
        <v>1</v>
      </c>
      <c r="J26" s="22">
        <v>0.983871</v>
      </c>
      <c r="K26" s="22">
        <v>0.240486</v>
      </c>
      <c r="L26" s="22">
        <v>0.912749</v>
      </c>
      <c r="M26" s="22">
        <v>0.237286</v>
      </c>
      <c r="N26" s="22">
        <v>0.375948</v>
      </c>
      <c r="O26" s="22">
        <v>0.859955</v>
      </c>
      <c r="P26" s="22">
        <v>0.990244</v>
      </c>
      <c r="Q26" s="22">
        <v>0.916489</v>
      </c>
      <c r="R26" s="22">
        <v>0.791607</v>
      </c>
      <c r="S26" s="22">
        <v>0.428751</v>
      </c>
      <c r="T26" s="22">
        <v>0.982871</v>
      </c>
      <c r="U26" s="22">
        <v>0.947155</v>
      </c>
      <c r="V26" s="22">
        <v>0.955941</v>
      </c>
      <c r="W26" s="25">
        <v>0.88313</v>
      </c>
      <c r="X26" s="22">
        <v>71</v>
      </c>
      <c r="Y26" s="22">
        <v>85.5</v>
      </c>
      <c r="Z26" s="22">
        <v>0</v>
      </c>
      <c r="AA26" s="22">
        <v>0.56166</v>
      </c>
      <c r="AB26" s="22">
        <v>264.237374</v>
      </c>
    </row>
    <row r="27" spans="1:28">
      <c r="A27" s="27"/>
      <c r="B27" s="27"/>
      <c r="C27" s="26" t="s">
        <v>60</v>
      </c>
      <c r="D27" s="22">
        <v>0.993295</v>
      </c>
      <c r="E27" s="22">
        <v>0.796996</v>
      </c>
      <c r="F27" s="22">
        <v>0.010389</v>
      </c>
      <c r="G27" s="22">
        <v>0.020501</v>
      </c>
      <c r="H27" s="22">
        <v>0.789683</v>
      </c>
      <c r="I27" s="22">
        <v>1</v>
      </c>
      <c r="J27" s="22">
        <v>0.870736</v>
      </c>
      <c r="K27" s="22">
        <v>0.00144</v>
      </c>
      <c r="L27" s="22">
        <v>0.789683</v>
      </c>
      <c r="M27" s="22">
        <v>0.200204</v>
      </c>
      <c r="N27" s="22">
        <v>0.316563</v>
      </c>
      <c r="O27" s="22">
        <v>0.80854</v>
      </c>
      <c r="P27" s="22">
        <v>0.958556</v>
      </c>
      <c r="Q27" s="22">
        <v>0.870643</v>
      </c>
      <c r="R27" s="22">
        <v>0.825508</v>
      </c>
      <c r="S27" s="22">
        <v>0.47449</v>
      </c>
      <c r="T27" s="22">
        <v>0.987053</v>
      </c>
      <c r="U27" s="22">
        <v>0.955502</v>
      </c>
      <c r="V27" s="22">
        <v>0.964902</v>
      </c>
      <c r="W27" s="25">
        <v>0.90127</v>
      </c>
      <c r="X27" s="22">
        <v>233</v>
      </c>
      <c r="Y27" s="22">
        <v>70.5</v>
      </c>
      <c r="Z27" s="22">
        <v>0</v>
      </c>
      <c r="AA27" s="22">
        <v>0.914578</v>
      </c>
      <c r="AB27" s="22">
        <v>157.336806</v>
      </c>
    </row>
    <row r="28" spans="1:28">
      <c r="A28" s="27"/>
      <c r="B28" s="27"/>
      <c r="C28" s="26" t="s">
        <v>61</v>
      </c>
      <c r="D28" s="22">
        <v>1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0.073147</v>
      </c>
      <c r="P28" s="22">
        <v>0.157647</v>
      </c>
      <c r="Q28" s="22">
        <v>0.099928</v>
      </c>
      <c r="R28" s="22">
        <v>0.767948</v>
      </c>
      <c r="S28" s="22">
        <v>0.303443</v>
      </c>
      <c r="T28" s="22">
        <v>0.9832</v>
      </c>
      <c r="U28" s="22">
        <v>0.943935</v>
      </c>
      <c r="V28" s="22">
        <v>0.955794</v>
      </c>
      <c r="W28" s="25">
        <v>0.871386</v>
      </c>
      <c r="X28" s="22" t="s">
        <v>0</v>
      </c>
      <c r="Y28" s="22" t="s">
        <v>0</v>
      </c>
      <c r="Z28" s="22">
        <v>0</v>
      </c>
      <c r="AA28" s="22">
        <v>0</v>
      </c>
      <c r="AB28" s="22" t="s">
        <v>0</v>
      </c>
    </row>
    <row r="29" spans="1:28">
      <c r="A29" s="27"/>
      <c r="B29" s="27"/>
      <c r="C29" s="26" t="s">
        <v>62</v>
      </c>
      <c r="D29" s="22">
        <v>1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0.787871</v>
      </c>
      <c r="S29" s="22">
        <v>0.392409</v>
      </c>
      <c r="T29" s="22">
        <v>0.982421</v>
      </c>
      <c r="U29" s="22">
        <v>0.945508</v>
      </c>
      <c r="V29" s="22">
        <v>0.955122</v>
      </c>
      <c r="W29" s="25">
        <v>0.878881</v>
      </c>
      <c r="X29" s="22" t="s">
        <v>0</v>
      </c>
      <c r="Y29" s="22" t="s">
        <v>0</v>
      </c>
      <c r="Z29" s="22">
        <v>0</v>
      </c>
      <c r="AA29" s="22">
        <v>0</v>
      </c>
      <c r="AB29" s="22" t="s">
        <v>0</v>
      </c>
    </row>
    <row r="30" spans="1:28">
      <c r="A30" s="27"/>
      <c r="B30" s="27"/>
      <c r="C30" s="26" t="s">
        <v>63</v>
      </c>
      <c r="D30" s="22">
        <v>1</v>
      </c>
      <c r="E30" s="22">
        <v>0.5</v>
      </c>
      <c r="F30" s="22">
        <v>0.012151</v>
      </c>
      <c r="G30" s="22">
        <v>0.023726</v>
      </c>
      <c r="H30" s="22">
        <v>0.5</v>
      </c>
      <c r="I30" s="22">
        <v>0.5</v>
      </c>
      <c r="J30" s="22">
        <v>0.5</v>
      </c>
      <c r="K30" s="22">
        <v>0.009854</v>
      </c>
      <c r="L30" s="22">
        <v>0.5</v>
      </c>
      <c r="M30" s="22">
        <v>0.10243</v>
      </c>
      <c r="N30" s="22">
        <v>0.170028</v>
      </c>
      <c r="O30" s="22">
        <v>0.559195</v>
      </c>
      <c r="P30" s="22">
        <v>0.544936</v>
      </c>
      <c r="Q30" s="22">
        <v>0.519327</v>
      </c>
      <c r="R30" s="22">
        <v>0.80983</v>
      </c>
      <c r="S30" s="22">
        <v>0.428979</v>
      </c>
      <c r="T30" s="22">
        <v>0.984601</v>
      </c>
      <c r="U30" s="22">
        <v>0.950942</v>
      </c>
      <c r="V30" s="22">
        <v>0.960181</v>
      </c>
      <c r="W30" s="25">
        <v>0.889955</v>
      </c>
      <c r="X30" s="22" t="s">
        <v>0</v>
      </c>
      <c r="Y30" s="22">
        <v>4555</v>
      </c>
      <c r="Z30" s="22">
        <v>0</v>
      </c>
      <c r="AA30" s="22">
        <v>0</v>
      </c>
      <c r="AB30" s="22" t="s">
        <v>0</v>
      </c>
    </row>
    <row r="31" spans="1:28">
      <c r="A31" s="27"/>
      <c r="B31" s="27"/>
      <c r="C31" s="26" t="s">
        <v>64</v>
      </c>
      <c r="D31" s="22">
        <v>0.648937</v>
      </c>
      <c r="E31" s="22">
        <v>0.779641</v>
      </c>
      <c r="F31" s="22">
        <v>0.429988</v>
      </c>
      <c r="G31" s="22">
        <v>0.55281</v>
      </c>
      <c r="H31" s="22">
        <v>0.806281</v>
      </c>
      <c r="I31" s="22">
        <v>1</v>
      </c>
      <c r="J31" s="22">
        <v>0.891402</v>
      </c>
      <c r="K31" s="22">
        <v>0.108683</v>
      </c>
      <c r="L31" s="22">
        <v>0.805929</v>
      </c>
      <c r="M31" s="22">
        <v>0.204045</v>
      </c>
      <c r="N31" s="22">
        <v>0.325258</v>
      </c>
      <c r="O31" s="22">
        <v>0.800343</v>
      </c>
      <c r="P31" s="22">
        <v>0.989862</v>
      </c>
      <c r="Q31" s="22">
        <v>0.878266</v>
      </c>
      <c r="R31" s="22">
        <v>0.764237</v>
      </c>
      <c r="S31" s="22">
        <v>0.304279</v>
      </c>
      <c r="T31" s="22">
        <v>0.983212</v>
      </c>
      <c r="U31" s="22">
        <v>0.941959</v>
      </c>
      <c r="V31" s="22">
        <v>0.95536</v>
      </c>
      <c r="W31" s="25">
        <v>0.868267</v>
      </c>
      <c r="X31" s="22">
        <v>432</v>
      </c>
      <c r="Y31" s="22">
        <v>11</v>
      </c>
      <c r="Z31" s="22">
        <v>0.5</v>
      </c>
      <c r="AA31" s="22">
        <v>2.781301</v>
      </c>
      <c r="AB31" s="22">
        <v>61.658088</v>
      </c>
    </row>
    <row r="32" spans="1:28">
      <c r="A32" s="27"/>
      <c r="B32" s="22" t="s">
        <v>65</v>
      </c>
      <c r="C32" s="26" t="s">
        <v>66</v>
      </c>
      <c r="D32" s="22">
        <v>0.995416</v>
      </c>
      <c r="E32" s="22">
        <v>0.842857</v>
      </c>
      <c r="F32" s="22">
        <v>0.009284</v>
      </c>
      <c r="G32" s="22">
        <v>0.018365</v>
      </c>
      <c r="H32" s="22">
        <v>0.833333</v>
      </c>
      <c r="I32" s="22">
        <v>1</v>
      </c>
      <c r="J32" s="22">
        <v>0.9</v>
      </c>
      <c r="K32" s="22">
        <v>0.001524</v>
      </c>
      <c r="L32" s="22">
        <v>0.833333</v>
      </c>
      <c r="M32" s="22">
        <v>0.200213</v>
      </c>
      <c r="N32" s="22">
        <v>0.320778</v>
      </c>
      <c r="O32" s="22">
        <v>0.858253</v>
      </c>
      <c r="P32" s="22">
        <v>0.975291</v>
      </c>
      <c r="Q32" s="22">
        <v>0.907364</v>
      </c>
      <c r="R32" s="22">
        <v>0.843214</v>
      </c>
      <c r="S32" s="22">
        <v>0.492808</v>
      </c>
      <c r="T32" s="22">
        <v>0.989616</v>
      </c>
      <c r="U32" s="22">
        <v>0.960439</v>
      </c>
      <c r="V32" s="22">
        <v>0.971043</v>
      </c>
      <c r="W32" s="25">
        <v>0.91149</v>
      </c>
      <c r="X32" s="22" t="s">
        <v>0</v>
      </c>
      <c r="Y32" s="22">
        <v>135</v>
      </c>
      <c r="Z32" s="22">
        <v>0</v>
      </c>
      <c r="AA32" s="22">
        <v>0.633748</v>
      </c>
      <c r="AB32" s="22">
        <v>222.307692</v>
      </c>
    </row>
    <row r="33" spans="1:28">
      <c r="A33" s="27"/>
      <c r="B33" s="28"/>
      <c r="C33" s="26" t="s">
        <v>67</v>
      </c>
      <c r="D33" s="22">
        <v>0.998209</v>
      </c>
      <c r="E33" s="22">
        <v>0.855769</v>
      </c>
      <c r="F33" s="22">
        <v>0.004313</v>
      </c>
      <c r="G33" s="22">
        <v>0.008581</v>
      </c>
      <c r="H33" s="22">
        <v>0.854406</v>
      </c>
      <c r="I33" s="22">
        <v>1</v>
      </c>
      <c r="J33" s="22">
        <v>0.919643</v>
      </c>
      <c r="K33" s="22">
        <v>0.001209</v>
      </c>
      <c r="L33" s="22">
        <v>0.854406</v>
      </c>
      <c r="M33" s="22">
        <v>0.200248</v>
      </c>
      <c r="N33" s="22">
        <v>0.324047</v>
      </c>
      <c r="O33" s="22">
        <v>0.867861</v>
      </c>
      <c r="P33" s="22">
        <v>0.915464</v>
      </c>
      <c r="Q33" s="22">
        <v>0.889869</v>
      </c>
      <c r="R33" s="22">
        <v>0.853321</v>
      </c>
      <c r="S33" s="22">
        <v>0.52266</v>
      </c>
      <c r="T33" s="22">
        <v>0.990266</v>
      </c>
      <c r="U33" s="22">
        <v>0.962451</v>
      </c>
      <c r="V33" s="22">
        <v>0.972893</v>
      </c>
      <c r="W33" s="25">
        <v>0.916281</v>
      </c>
      <c r="X33" s="22">
        <v>226</v>
      </c>
      <c r="Y33" s="22">
        <v>1264</v>
      </c>
      <c r="Z33" s="22">
        <v>0</v>
      </c>
      <c r="AA33" s="22">
        <v>0.231633</v>
      </c>
      <c r="AB33" s="22">
        <v>630.95</v>
      </c>
    </row>
    <row r="34" spans="1:28">
      <c r="A34" s="27"/>
      <c r="B34" s="22" t="s">
        <v>68</v>
      </c>
      <c r="C34" s="26" t="s">
        <v>69</v>
      </c>
      <c r="D34" s="22">
        <v>0.99772</v>
      </c>
      <c r="E34" s="22">
        <v>0.836667</v>
      </c>
      <c r="F34" s="22">
        <v>0.004455</v>
      </c>
      <c r="G34" s="22">
        <v>0.008863</v>
      </c>
      <c r="H34" s="22">
        <v>0.83631</v>
      </c>
      <c r="I34" s="22">
        <v>1</v>
      </c>
      <c r="J34" s="22">
        <v>0.906028</v>
      </c>
      <c r="K34" s="22">
        <v>0.000862</v>
      </c>
      <c r="L34" s="22">
        <v>0.83631</v>
      </c>
      <c r="M34" s="22">
        <v>0.200186</v>
      </c>
      <c r="N34" s="22">
        <v>0.321952</v>
      </c>
      <c r="O34" s="22">
        <v>0.847878</v>
      </c>
      <c r="P34" s="22">
        <v>0.897042</v>
      </c>
      <c r="Q34" s="22">
        <v>0.869343</v>
      </c>
      <c r="R34" s="22">
        <v>0.842562</v>
      </c>
      <c r="S34" s="22">
        <v>0.483205</v>
      </c>
      <c r="T34" s="22">
        <v>0.989634</v>
      </c>
      <c r="U34" s="22">
        <v>0.960764</v>
      </c>
      <c r="V34" s="22">
        <v>0.971266</v>
      </c>
      <c r="W34" s="25">
        <v>0.911968</v>
      </c>
      <c r="X34" s="22" t="s">
        <v>0</v>
      </c>
      <c r="Y34" s="22">
        <v>1444</v>
      </c>
      <c r="Z34" s="22">
        <v>0</v>
      </c>
      <c r="AA34" s="22">
        <v>0.303721</v>
      </c>
      <c r="AB34" s="22">
        <v>363.208333</v>
      </c>
    </row>
    <row r="35" spans="1:28">
      <c r="A35" s="27"/>
      <c r="B35" s="27"/>
      <c r="C35" s="26" t="s">
        <v>70</v>
      </c>
      <c r="D35" s="22">
        <v>0.994308</v>
      </c>
      <c r="E35" s="22">
        <v>0.588312</v>
      </c>
      <c r="F35" s="22">
        <v>0.003782</v>
      </c>
      <c r="G35" s="22">
        <v>0.007516</v>
      </c>
      <c r="H35" s="22">
        <v>0.599327</v>
      </c>
      <c r="I35" s="22">
        <v>1</v>
      </c>
      <c r="J35" s="22">
        <v>0.695055</v>
      </c>
      <c r="K35" s="22">
        <v>0.001522</v>
      </c>
      <c r="L35" s="22">
        <v>0.599327</v>
      </c>
      <c r="M35" s="22">
        <v>0.200343</v>
      </c>
      <c r="N35" s="22">
        <v>0.280149</v>
      </c>
      <c r="O35" s="22">
        <v>0.610762</v>
      </c>
      <c r="P35" s="22">
        <v>0.87799</v>
      </c>
      <c r="Q35" s="22">
        <v>0.693064</v>
      </c>
      <c r="R35" s="22">
        <v>0.813562</v>
      </c>
      <c r="S35" s="22">
        <v>0.417441</v>
      </c>
      <c r="T35" s="22">
        <v>0.987281</v>
      </c>
      <c r="U35" s="22">
        <v>0.95255</v>
      </c>
      <c r="V35" s="22">
        <v>0.965025</v>
      </c>
      <c r="W35" s="25">
        <v>0.892903</v>
      </c>
      <c r="X35" s="22">
        <v>236</v>
      </c>
      <c r="Y35" s="22">
        <v>1685.5</v>
      </c>
      <c r="Z35" s="22">
        <v>0</v>
      </c>
      <c r="AA35" s="22">
        <v>0.565075</v>
      </c>
      <c r="AB35" s="22">
        <v>221.763736</v>
      </c>
    </row>
    <row r="36" spans="1:28">
      <c r="A36" s="27"/>
      <c r="B36" s="27"/>
      <c r="C36" s="26" t="s">
        <v>71</v>
      </c>
      <c r="D36" s="22">
        <v>0.997148</v>
      </c>
      <c r="E36" s="22">
        <v>0.781667</v>
      </c>
      <c r="F36" s="22">
        <v>0.00394</v>
      </c>
      <c r="G36" s="22">
        <v>0.007839</v>
      </c>
      <c r="H36" s="22">
        <v>0.764264</v>
      </c>
      <c r="I36" s="22">
        <v>1</v>
      </c>
      <c r="J36" s="22">
        <v>0.850294</v>
      </c>
      <c r="K36" s="22">
        <v>0.001324</v>
      </c>
      <c r="L36" s="22">
        <v>0.764264</v>
      </c>
      <c r="M36" s="22">
        <v>0.20024</v>
      </c>
      <c r="N36" s="22">
        <v>0.313235</v>
      </c>
      <c r="O36" s="22">
        <v>0.788567</v>
      </c>
      <c r="P36" s="22">
        <v>0.920538</v>
      </c>
      <c r="Q36" s="22">
        <v>0.840502</v>
      </c>
      <c r="R36" s="22">
        <v>0.839425</v>
      </c>
      <c r="S36" s="22">
        <v>0.494689</v>
      </c>
      <c r="T36" s="22">
        <v>0.988651</v>
      </c>
      <c r="U36" s="22">
        <v>0.959552</v>
      </c>
      <c r="V36" s="22">
        <v>0.969051</v>
      </c>
      <c r="W36" s="25">
        <v>0.910128</v>
      </c>
      <c r="X36" s="22" t="s">
        <v>0</v>
      </c>
      <c r="Y36" s="22">
        <v>1044</v>
      </c>
      <c r="Z36" s="22">
        <v>0</v>
      </c>
      <c r="AA36" s="22">
        <v>0.336857</v>
      </c>
      <c r="AB36" s="22">
        <v>445.5</v>
      </c>
    </row>
    <row r="37" spans="1:28">
      <c r="A37" s="27"/>
      <c r="B37" s="28"/>
      <c r="C37" s="26" t="s">
        <v>72</v>
      </c>
      <c r="D37" s="22">
        <v>0.998733</v>
      </c>
      <c r="E37" s="22">
        <v>0.6</v>
      </c>
      <c r="F37" s="22">
        <v>0.002572</v>
      </c>
      <c r="G37" s="22">
        <v>0.00512</v>
      </c>
      <c r="H37" s="22">
        <v>0.612613</v>
      </c>
      <c r="I37" s="22">
        <v>1</v>
      </c>
      <c r="J37" s="22">
        <v>0.721429</v>
      </c>
      <c r="K37" s="22">
        <v>0.000662</v>
      </c>
      <c r="L37" s="22">
        <v>0.612613</v>
      </c>
      <c r="M37" s="22">
        <v>0.200181</v>
      </c>
      <c r="N37" s="22">
        <v>0.288538</v>
      </c>
      <c r="O37" s="22">
        <v>0.625427</v>
      </c>
      <c r="P37" s="22">
        <v>0.865126</v>
      </c>
      <c r="Q37" s="22">
        <v>0.707924</v>
      </c>
      <c r="R37" s="22">
        <v>0.844576</v>
      </c>
      <c r="S37" s="22">
        <v>0.504612</v>
      </c>
      <c r="T37" s="22">
        <v>0.989095</v>
      </c>
      <c r="U37" s="22">
        <v>0.960033</v>
      </c>
      <c r="V37" s="22">
        <v>0.970065</v>
      </c>
      <c r="W37" s="25">
        <v>0.911203</v>
      </c>
      <c r="X37" s="22" t="s">
        <v>0</v>
      </c>
      <c r="Y37" s="22">
        <v>1155.5</v>
      </c>
      <c r="Z37" s="22">
        <v>0</v>
      </c>
      <c r="AA37" s="22">
        <v>0.156129</v>
      </c>
      <c r="AB37" s="22">
        <v>394.5</v>
      </c>
    </row>
    <row r="38" spans="1:28">
      <c r="A38" s="28"/>
      <c r="B38" s="22" t="s">
        <v>73</v>
      </c>
      <c r="C38" s="26" t="s">
        <v>74</v>
      </c>
      <c r="D38" s="22">
        <v>0.989165</v>
      </c>
      <c r="E38" s="22">
        <v>0.833333</v>
      </c>
      <c r="F38" s="22">
        <v>0.007995</v>
      </c>
      <c r="G38" s="22">
        <v>0.015829</v>
      </c>
      <c r="H38" s="22">
        <v>0.833333</v>
      </c>
      <c r="I38" s="22">
        <v>1</v>
      </c>
      <c r="J38" s="22">
        <v>0.9</v>
      </c>
      <c r="K38" s="22">
        <v>0.001524</v>
      </c>
      <c r="L38" s="22">
        <v>0.833333</v>
      </c>
      <c r="M38" s="22">
        <v>0.200416</v>
      </c>
      <c r="N38" s="22">
        <v>0.32103</v>
      </c>
      <c r="O38" s="22">
        <v>0.846342</v>
      </c>
      <c r="P38" s="22">
        <v>0.885211</v>
      </c>
      <c r="Q38" s="22">
        <v>0.86351</v>
      </c>
      <c r="R38" s="22">
        <v>0.821784</v>
      </c>
      <c r="S38" s="22">
        <v>0.391588</v>
      </c>
      <c r="T38" s="22">
        <v>0.988192</v>
      </c>
      <c r="U38" s="22">
        <v>0.953954</v>
      </c>
      <c r="V38" s="22">
        <v>0.967219</v>
      </c>
      <c r="W38" s="25">
        <v>0.895377</v>
      </c>
      <c r="X38" s="22" t="s">
        <v>0</v>
      </c>
      <c r="Y38" s="22">
        <v>758.5</v>
      </c>
      <c r="Z38" s="22">
        <v>0</v>
      </c>
      <c r="AA38" s="22">
        <v>0.51417</v>
      </c>
      <c r="AB38" s="22">
        <v>282.291667</v>
      </c>
    </row>
    <row r="39" spans="1:28">
      <c r="C39" s="29" t="s">
        <v>0</v>
      </c>
    </row>
    <row r="41" spans="1:28">
      <c r="A41" s="22" t="s">
        <v>0</v>
      </c>
      <c r="B41" s="22" t="s">
        <v>0</v>
      </c>
      <c r="C41" s="23" t="s">
        <v>0</v>
      </c>
      <c r="D41" s="24" t="s">
        <v>7</v>
      </c>
      <c r="E41" s="22" t="s">
        <v>8</v>
      </c>
      <c r="F41" s="22" t="s">
        <v>9</v>
      </c>
      <c r="G41" s="22" t="s">
        <v>10</v>
      </c>
      <c r="H41" s="22" t="s">
        <v>11</v>
      </c>
      <c r="I41" s="22" t="s">
        <v>12</v>
      </c>
      <c r="J41" s="22" t="s">
        <v>13</v>
      </c>
      <c r="K41" s="22" t="s">
        <v>14</v>
      </c>
      <c r="L41" s="22" t="s">
        <v>15</v>
      </c>
      <c r="M41" s="22" t="s">
        <v>16</v>
      </c>
      <c r="N41" s="22" t="s">
        <v>17</v>
      </c>
      <c r="O41" s="22" t="s">
        <v>18</v>
      </c>
      <c r="P41" s="22" t="s">
        <v>19</v>
      </c>
      <c r="Q41" s="22" t="s">
        <v>20</v>
      </c>
      <c r="R41" s="22" t="s">
        <v>21</v>
      </c>
      <c r="S41" s="22" t="s">
        <v>22</v>
      </c>
      <c r="T41" s="22" t="s">
        <v>23</v>
      </c>
      <c r="U41" s="22" t="s">
        <v>24</v>
      </c>
      <c r="V41" s="22" t="s">
        <v>25</v>
      </c>
      <c r="W41" s="25" t="s">
        <v>26</v>
      </c>
      <c r="X41" s="22" t="s">
        <v>27</v>
      </c>
      <c r="Y41" s="22" t="s">
        <v>28</v>
      </c>
      <c r="Z41" s="22" t="s">
        <v>29</v>
      </c>
      <c r="AA41" s="24" t="s">
        <v>30</v>
      </c>
      <c r="AB41" s="24" t="s">
        <v>31</v>
      </c>
    </row>
    <row r="42" spans="1:28">
      <c r="A42" s="22" t="s">
        <v>111</v>
      </c>
      <c r="B42" s="22" t="s">
        <v>33</v>
      </c>
      <c r="C42" s="26" t="s">
        <v>34</v>
      </c>
      <c r="D42" s="22">
        <v>0.981413</v>
      </c>
      <c r="E42" s="22">
        <v>0.689367</v>
      </c>
      <c r="F42" s="22">
        <v>0.109952</v>
      </c>
      <c r="G42" s="22">
        <v>0.155971</v>
      </c>
      <c r="H42" s="22">
        <v>0.689464</v>
      </c>
      <c r="I42" s="22">
        <v>0.75</v>
      </c>
      <c r="J42" s="22">
        <v>0.71588</v>
      </c>
      <c r="K42" s="22">
        <v>0.059189</v>
      </c>
      <c r="L42" s="22">
        <v>0.689464</v>
      </c>
      <c r="M42" s="22">
        <v>0.155066</v>
      </c>
      <c r="N42" s="22">
        <v>0.252302</v>
      </c>
      <c r="O42" s="22">
        <v>0.69347</v>
      </c>
      <c r="P42" s="22">
        <v>0.632221</v>
      </c>
      <c r="Q42" s="22">
        <v>0.65808</v>
      </c>
      <c r="R42" s="22">
        <v>0.706665</v>
      </c>
      <c r="S42" s="22">
        <v>0.522783</v>
      </c>
      <c r="T42" s="22">
        <v>0.856968</v>
      </c>
      <c r="U42" s="22">
        <v>0.823656</v>
      </c>
      <c r="V42" s="22">
        <v>0.852579</v>
      </c>
      <c r="W42" s="25">
        <v>0.814154</v>
      </c>
      <c r="X42" s="22">
        <v>132</v>
      </c>
      <c r="Y42" s="22">
        <v>477.667</v>
      </c>
      <c r="Z42" s="22">
        <v>0</v>
      </c>
      <c r="AA42" s="22">
        <v>0.403665</v>
      </c>
      <c r="AB42" s="22">
        <v>154.293155</v>
      </c>
    </row>
    <row r="43" spans="1:28">
      <c r="A43" s="27"/>
      <c r="B43" s="27"/>
      <c r="C43" s="26" t="s">
        <v>35</v>
      </c>
      <c r="D43" s="22">
        <v>0.607055</v>
      </c>
      <c r="E43" s="22">
        <v>0.569916</v>
      </c>
      <c r="F43" s="22">
        <v>0.229114</v>
      </c>
      <c r="G43" s="22">
        <v>0.291818</v>
      </c>
      <c r="H43" s="22">
        <v>0.601476</v>
      </c>
      <c r="I43" s="22">
        <v>1</v>
      </c>
      <c r="J43" s="22">
        <v>0.714687</v>
      </c>
      <c r="K43" s="22">
        <v>0.082091</v>
      </c>
      <c r="L43" s="22">
        <v>0.595817</v>
      </c>
      <c r="M43" s="22">
        <v>0.210606</v>
      </c>
      <c r="N43" s="22">
        <v>0.295174</v>
      </c>
      <c r="O43" s="22">
        <v>0.670976</v>
      </c>
      <c r="P43" s="22">
        <v>0.923129</v>
      </c>
      <c r="Q43" s="22">
        <v>0.763773</v>
      </c>
      <c r="R43" s="22">
        <v>0.64982</v>
      </c>
      <c r="S43" s="22">
        <v>0.381387</v>
      </c>
      <c r="T43" s="22">
        <v>0.848333</v>
      </c>
      <c r="U43" s="22">
        <v>0.813368</v>
      </c>
      <c r="V43" s="22">
        <v>0.839772</v>
      </c>
      <c r="W43" s="25">
        <v>0.79432</v>
      </c>
      <c r="X43" s="22">
        <v>254</v>
      </c>
      <c r="Y43" s="22">
        <v>18.875</v>
      </c>
      <c r="Z43" s="22">
        <v>0.25</v>
      </c>
      <c r="AA43" s="22">
        <v>9.730515</v>
      </c>
      <c r="AB43" s="22">
        <v>18.701473</v>
      </c>
    </row>
    <row r="44" spans="1:28">
      <c r="A44" s="27"/>
      <c r="B44" s="28"/>
      <c r="C44" s="26" t="s">
        <v>36</v>
      </c>
      <c r="D44" s="22">
        <v>0.957072</v>
      </c>
      <c r="E44" s="22">
        <v>0.818542</v>
      </c>
      <c r="F44" s="22">
        <v>0.070455</v>
      </c>
      <c r="G44" s="22">
        <v>0.126389</v>
      </c>
      <c r="H44" s="22">
        <v>0.8218</v>
      </c>
      <c r="I44" s="22">
        <v>1</v>
      </c>
      <c r="J44" s="22">
        <v>0.898354</v>
      </c>
      <c r="K44" s="22">
        <v>0.026253</v>
      </c>
      <c r="L44" s="22">
        <v>0.8218</v>
      </c>
      <c r="M44" s="22">
        <v>0.202837</v>
      </c>
      <c r="N44" s="22">
        <v>0.324373</v>
      </c>
      <c r="O44" s="22">
        <v>0.86507</v>
      </c>
      <c r="P44" s="22">
        <v>0.918604</v>
      </c>
      <c r="Q44" s="22">
        <v>0.887448</v>
      </c>
      <c r="R44" s="22">
        <v>0.812534</v>
      </c>
      <c r="S44" s="22">
        <v>0.632495</v>
      </c>
      <c r="T44" s="22">
        <v>0.94458</v>
      </c>
      <c r="U44" s="22">
        <v>0.9182</v>
      </c>
      <c r="V44" s="22">
        <v>0.924404</v>
      </c>
      <c r="W44" s="25">
        <v>0.891532</v>
      </c>
      <c r="X44" s="22">
        <v>171.333</v>
      </c>
      <c r="Y44" s="22">
        <v>283.375</v>
      </c>
      <c r="Z44" s="22">
        <v>0.25</v>
      </c>
      <c r="AA44" s="22">
        <v>2.01308</v>
      </c>
      <c r="AB44" s="22">
        <v>81.066672</v>
      </c>
    </row>
    <row r="45" spans="1:28">
      <c r="A45" s="27"/>
      <c r="B45" s="22" t="s">
        <v>37</v>
      </c>
      <c r="C45" s="26" t="s">
        <v>38</v>
      </c>
      <c r="D45" s="22">
        <v>0.974466</v>
      </c>
      <c r="E45" s="22">
        <v>0.444427</v>
      </c>
      <c r="F45" s="22">
        <v>0.091139</v>
      </c>
      <c r="G45" s="22">
        <v>0.133048</v>
      </c>
      <c r="H45" s="22">
        <v>0.428922</v>
      </c>
      <c r="I45" s="22">
        <v>0.5</v>
      </c>
      <c r="J45" s="22">
        <v>0.458333</v>
      </c>
      <c r="K45" s="22">
        <v>0.042598</v>
      </c>
      <c r="L45" s="22">
        <v>0.428922</v>
      </c>
      <c r="M45" s="22">
        <v>0.102687</v>
      </c>
      <c r="N45" s="22">
        <v>0.164915</v>
      </c>
      <c r="O45" s="22">
        <v>0.446024</v>
      </c>
      <c r="P45" s="22">
        <v>0.432588</v>
      </c>
      <c r="Q45" s="22">
        <v>0.436998</v>
      </c>
      <c r="R45" s="22">
        <v>0.715525</v>
      </c>
      <c r="S45" s="22">
        <v>0.517412</v>
      </c>
      <c r="T45" s="22">
        <v>0.864251</v>
      </c>
      <c r="U45" s="22">
        <v>0.821219</v>
      </c>
      <c r="V45" s="22">
        <v>0.858692</v>
      </c>
      <c r="W45" s="25">
        <v>0.814981</v>
      </c>
      <c r="X45" s="22">
        <v>133</v>
      </c>
      <c r="Y45" s="22">
        <v>182.25</v>
      </c>
      <c r="Z45" s="22">
        <v>0</v>
      </c>
      <c r="AA45" s="22">
        <v>0.622091</v>
      </c>
      <c r="AB45" s="22">
        <v>61.718586</v>
      </c>
    </row>
    <row r="46" spans="1:28">
      <c r="A46" s="27"/>
      <c r="B46" s="27"/>
      <c r="C46" s="26" t="s">
        <v>39</v>
      </c>
      <c r="D46" s="22">
        <v>0.885766</v>
      </c>
      <c r="E46" s="22">
        <v>0.557872</v>
      </c>
      <c r="F46" s="22">
        <v>0.106662</v>
      </c>
      <c r="G46" s="22">
        <v>0.145111</v>
      </c>
      <c r="H46" s="22">
        <v>0.589475</v>
      </c>
      <c r="I46" s="22">
        <v>0.75</v>
      </c>
      <c r="J46" s="22">
        <v>0.640995</v>
      </c>
      <c r="K46" s="22">
        <v>0.044323</v>
      </c>
      <c r="L46" s="22">
        <v>0.589267</v>
      </c>
      <c r="M46" s="22">
        <v>0.153055</v>
      </c>
      <c r="N46" s="22">
        <v>0.236549</v>
      </c>
      <c r="O46" s="22">
        <v>0.582176</v>
      </c>
      <c r="P46" s="22">
        <v>0.640714</v>
      </c>
      <c r="Q46" s="22">
        <v>0.585311</v>
      </c>
      <c r="R46" s="22">
        <v>0.685336</v>
      </c>
      <c r="S46" s="22">
        <v>0.456226</v>
      </c>
      <c r="T46" s="22">
        <v>0.854481</v>
      </c>
      <c r="U46" s="22">
        <v>0.818235</v>
      </c>
      <c r="V46" s="22">
        <v>0.847459</v>
      </c>
      <c r="W46" s="25">
        <v>0.801349</v>
      </c>
      <c r="X46" s="22">
        <v>135</v>
      </c>
      <c r="Y46" s="22">
        <v>382.5</v>
      </c>
      <c r="Z46" s="22">
        <v>0</v>
      </c>
      <c r="AA46" s="22">
        <v>1.389133</v>
      </c>
      <c r="AB46" s="22">
        <v>68.50171</v>
      </c>
    </row>
    <row r="47" spans="1:28">
      <c r="A47" s="27"/>
      <c r="B47" s="27"/>
      <c r="C47" s="26" t="s">
        <v>40</v>
      </c>
      <c r="D47" s="22">
        <v>0.981274</v>
      </c>
      <c r="E47" s="22">
        <v>0.656048</v>
      </c>
      <c r="F47" s="22">
        <v>0.060133</v>
      </c>
      <c r="G47" s="22">
        <v>0.098552</v>
      </c>
      <c r="H47" s="22">
        <v>0.65625</v>
      </c>
      <c r="I47" s="22">
        <v>0.75</v>
      </c>
      <c r="J47" s="22">
        <v>0.691667</v>
      </c>
      <c r="K47" s="22">
        <v>0.055393</v>
      </c>
      <c r="L47" s="22">
        <v>0.65625</v>
      </c>
      <c r="M47" s="22">
        <v>0.167754</v>
      </c>
      <c r="N47" s="22">
        <v>0.262664</v>
      </c>
      <c r="O47" s="22">
        <v>0.658799</v>
      </c>
      <c r="P47" s="22">
        <v>0.569693</v>
      </c>
      <c r="Q47" s="22">
        <v>0.600839</v>
      </c>
      <c r="R47" s="22">
        <v>0.685839</v>
      </c>
      <c r="S47" s="22">
        <v>0.45656</v>
      </c>
      <c r="T47" s="22">
        <v>0.851054</v>
      </c>
      <c r="U47" s="22">
        <v>0.808595</v>
      </c>
      <c r="V47" s="22">
        <v>0.842604</v>
      </c>
      <c r="W47" s="25">
        <v>0.791636</v>
      </c>
      <c r="X47" s="22">
        <v>144</v>
      </c>
      <c r="Y47" s="22">
        <v>414.833</v>
      </c>
      <c r="Z47" s="22">
        <v>0</v>
      </c>
      <c r="AA47" s="22">
        <v>0.044184</v>
      </c>
      <c r="AB47" s="22">
        <v>1843</v>
      </c>
    </row>
    <row r="48" spans="1:28">
      <c r="A48" s="27"/>
      <c r="B48" s="27"/>
      <c r="C48" s="26" t="s">
        <v>41</v>
      </c>
      <c r="D48" s="22">
        <v>0.13218</v>
      </c>
      <c r="E48" s="22">
        <v>0.624997</v>
      </c>
      <c r="F48" s="22">
        <v>0.639038</v>
      </c>
      <c r="G48" s="22">
        <v>0.618153</v>
      </c>
      <c r="H48" s="22">
        <v>0.702001</v>
      </c>
      <c r="I48" s="22">
        <v>1</v>
      </c>
      <c r="J48" s="22">
        <v>0.799</v>
      </c>
      <c r="K48" s="22">
        <v>0.24347</v>
      </c>
      <c r="L48" s="22">
        <v>0.682113</v>
      </c>
      <c r="M48" s="22">
        <v>0.243655</v>
      </c>
      <c r="N48" s="22">
        <v>0.327441</v>
      </c>
      <c r="O48" s="22">
        <v>0.712071</v>
      </c>
      <c r="P48" s="22">
        <v>0.984104</v>
      </c>
      <c r="Q48" s="22">
        <v>0.812316</v>
      </c>
      <c r="R48" s="22">
        <v>0.660078</v>
      </c>
      <c r="S48" s="22">
        <v>0.388971</v>
      </c>
      <c r="T48" s="22">
        <v>0.845452</v>
      </c>
      <c r="U48" s="22">
        <v>0.814068</v>
      </c>
      <c r="V48" s="22">
        <v>0.841608</v>
      </c>
      <c r="W48" s="25">
        <v>0.796018</v>
      </c>
      <c r="X48" s="22">
        <v>264</v>
      </c>
      <c r="Y48" s="22">
        <v>0</v>
      </c>
      <c r="Z48" s="22">
        <v>0.375</v>
      </c>
      <c r="AA48" s="22">
        <v>3.167681</v>
      </c>
      <c r="AB48" s="22">
        <v>68.909451</v>
      </c>
    </row>
    <row r="49" spans="1:28">
      <c r="A49" s="27"/>
      <c r="B49" s="27"/>
      <c r="C49" s="26" t="s">
        <v>42</v>
      </c>
      <c r="D49" s="22">
        <v>0.786172</v>
      </c>
      <c r="E49" s="22">
        <v>0.520807</v>
      </c>
      <c r="F49" s="22">
        <v>0.121145</v>
      </c>
      <c r="G49" s="22">
        <v>0.134245</v>
      </c>
      <c r="H49" s="22">
        <v>0.537917</v>
      </c>
      <c r="I49" s="22">
        <v>0.75</v>
      </c>
      <c r="J49" s="22">
        <v>0.58752</v>
      </c>
      <c r="K49" s="22">
        <v>0.06384</v>
      </c>
      <c r="L49" s="22">
        <v>0.533832</v>
      </c>
      <c r="M49" s="22">
        <v>0.170948</v>
      </c>
      <c r="N49" s="22">
        <v>0.23184</v>
      </c>
      <c r="O49" s="22">
        <v>0.554302</v>
      </c>
      <c r="P49" s="22">
        <v>0.641318</v>
      </c>
      <c r="Q49" s="22">
        <v>0.57816</v>
      </c>
      <c r="R49" s="22">
        <v>0.640623</v>
      </c>
      <c r="S49" s="22">
        <v>0.346652</v>
      </c>
      <c r="T49" s="22">
        <v>0.805003</v>
      </c>
      <c r="U49" s="22">
        <v>0.773196</v>
      </c>
      <c r="V49" s="22">
        <v>0.80924</v>
      </c>
      <c r="W49" s="25">
        <v>0.763405</v>
      </c>
      <c r="X49" s="22">
        <v>142</v>
      </c>
      <c r="Y49" s="22">
        <v>370.5</v>
      </c>
      <c r="Z49" s="22">
        <v>0</v>
      </c>
      <c r="AA49" s="22">
        <v>1.501766</v>
      </c>
      <c r="AB49" s="22">
        <v>78.767535</v>
      </c>
    </row>
    <row r="50" spans="1:28">
      <c r="A50" s="27"/>
      <c r="B50" s="27"/>
      <c r="C50" s="26" t="s">
        <v>43</v>
      </c>
      <c r="D50" s="22">
        <v>0.995028</v>
      </c>
      <c r="E50" s="22">
        <v>0.31614</v>
      </c>
      <c r="F50" s="22">
        <v>0.016282</v>
      </c>
      <c r="G50" s="22">
        <v>0.030218</v>
      </c>
      <c r="H50" s="22">
        <v>0.28125</v>
      </c>
      <c r="I50" s="22">
        <v>0.375</v>
      </c>
      <c r="J50" s="22">
        <v>0.315476</v>
      </c>
      <c r="K50" s="22">
        <v>0.015161</v>
      </c>
      <c r="L50" s="22">
        <v>0.28125</v>
      </c>
      <c r="M50" s="22">
        <v>0.076365</v>
      </c>
      <c r="N50" s="22">
        <v>0.11862</v>
      </c>
      <c r="O50" s="22">
        <v>0.325466</v>
      </c>
      <c r="P50" s="22">
        <v>0.274875</v>
      </c>
      <c r="Q50" s="22">
        <v>0.293226</v>
      </c>
      <c r="R50" s="22">
        <v>0.767229</v>
      </c>
      <c r="S50" s="22">
        <v>0.556281</v>
      </c>
      <c r="T50" s="22">
        <v>0.903682</v>
      </c>
      <c r="U50" s="22">
        <v>0.877436</v>
      </c>
      <c r="V50" s="22">
        <v>0.893428</v>
      </c>
      <c r="W50" s="25">
        <v>0.856547</v>
      </c>
      <c r="X50" s="22">
        <v>143</v>
      </c>
      <c r="Y50" s="22">
        <v>1076.25</v>
      </c>
      <c r="Z50" s="22">
        <v>0</v>
      </c>
      <c r="AA50" s="22">
        <v>0.12111</v>
      </c>
      <c r="AB50" s="22">
        <v>308.433333</v>
      </c>
    </row>
    <row r="51" spans="1:28">
      <c r="A51" s="27"/>
      <c r="B51" s="27"/>
      <c r="C51" s="29" t="s">
        <v>44</v>
      </c>
      <c r="D51" s="22">
        <v>0.955878</v>
      </c>
      <c r="E51" s="22">
        <v>0.776157</v>
      </c>
      <c r="F51" s="22">
        <v>0.019095</v>
      </c>
      <c r="G51" s="22">
        <v>0.035172</v>
      </c>
      <c r="H51" s="22">
        <v>0.825773</v>
      </c>
      <c r="I51" s="22">
        <v>1</v>
      </c>
      <c r="J51" s="22">
        <v>0.886395</v>
      </c>
      <c r="K51" s="22">
        <v>0.01063</v>
      </c>
      <c r="L51" s="22">
        <v>0.824905</v>
      </c>
      <c r="M51" s="22">
        <v>0.202095</v>
      </c>
      <c r="N51" s="22">
        <v>0.319659</v>
      </c>
      <c r="O51" s="22">
        <v>0.786945</v>
      </c>
      <c r="P51" s="22">
        <v>0.808804</v>
      </c>
      <c r="Q51" s="22">
        <v>0.768703</v>
      </c>
      <c r="R51" s="22">
        <v>0.640191</v>
      </c>
      <c r="S51" s="22">
        <v>0.368864</v>
      </c>
      <c r="T51" s="22">
        <v>0.824437</v>
      </c>
      <c r="U51" s="22">
        <v>0.786489</v>
      </c>
      <c r="V51" s="22">
        <v>0.822893</v>
      </c>
      <c r="W51" s="25">
        <v>0.771131</v>
      </c>
      <c r="X51" s="22">
        <v>177.5</v>
      </c>
      <c r="Y51" s="22">
        <v>296</v>
      </c>
      <c r="Z51" s="22">
        <v>0</v>
      </c>
      <c r="AA51" s="22">
        <v>1.696261</v>
      </c>
      <c r="AB51" s="22">
        <v>130.684896</v>
      </c>
    </row>
    <row r="52" spans="1:28">
      <c r="A52" s="27"/>
      <c r="B52" s="28"/>
      <c r="C52" s="26" t="s">
        <v>45</v>
      </c>
      <c r="D52" s="22">
        <v>0.797593</v>
      </c>
      <c r="E52" s="22">
        <v>0.546741</v>
      </c>
      <c r="F52" s="22">
        <v>0.152892</v>
      </c>
      <c r="G52" s="22">
        <v>0.197409</v>
      </c>
      <c r="H52" s="22">
        <v>0.597031</v>
      </c>
      <c r="I52" s="22">
        <v>0.75</v>
      </c>
      <c r="J52" s="22">
        <v>0.639673</v>
      </c>
      <c r="K52" s="22">
        <v>0.063481</v>
      </c>
      <c r="L52" s="22">
        <v>0.592566</v>
      </c>
      <c r="M52" s="22">
        <v>0.154169</v>
      </c>
      <c r="N52" s="22">
        <v>0.235671</v>
      </c>
      <c r="O52" s="22">
        <v>0.577247</v>
      </c>
      <c r="P52" s="22">
        <v>0.686762</v>
      </c>
      <c r="Q52" s="22">
        <v>0.612184</v>
      </c>
      <c r="R52" s="22">
        <v>0.70344</v>
      </c>
      <c r="S52" s="22">
        <v>0.486123</v>
      </c>
      <c r="T52" s="22">
        <v>0.881623</v>
      </c>
      <c r="U52" s="22">
        <v>0.858596</v>
      </c>
      <c r="V52" s="22">
        <v>0.863745</v>
      </c>
      <c r="W52" s="25">
        <v>0.832428</v>
      </c>
      <c r="X52" s="22">
        <v>75.25</v>
      </c>
      <c r="Y52" s="22">
        <v>42.167</v>
      </c>
      <c r="Z52" s="22">
        <v>0</v>
      </c>
      <c r="AA52" s="22">
        <v>2.355858</v>
      </c>
      <c r="AB52" s="22">
        <v>64.829532</v>
      </c>
    </row>
    <row r="53" spans="1:28">
      <c r="A53" s="27"/>
      <c r="B53" s="30" t="s">
        <v>46</v>
      </c>
      <c r="C53" s="26" t="s">
        <v>47</v>
      </c>
      <c r="D53" s="22">
        <v>0.653493</v>
      </c>
      <c r="E53" s="22">
        <v>0.613206</v>
      </c>
      <c r="F53" s="22">
        <v>0.288729</v>
      </c>
      <c r="G53" s="22">
        <v>0.384305</v>
      </c>
      <c r="H53" s="22">
        <v>0.647343</v>
      </c>
      <c r="I53" s="22">
        <v>1</v>
      </c>
      <c r="J53" s="22">
        <v>0.755384</v>
      </c>
      <c r="K53" s="22">
        <v>0.09995</v>
      </c>
      <c r="L53" s="22">
        <v>0.637286</v>
      </c>
      <c r="M53" s="22">
        <v>0.210533</v>
      </c>
      <c r="N53" s="22">
        <v>0.301939</v>
      </c>
      <c r="O53" s="22">
        <v>0.686566</v>
      </c>
      <c r="P53" s="22">
        <v>0.972011</v>
      </c>
      <c r="Q53" s="22">
        <v>0.789055</v>
      </c>
      <c r="R53" s="22">
        <v>0.654041</v>
      </c>
      <c r="S53" s="22">
        <v>0.405003</v>
      </c>
      <c r="T53" s="22">
        <v>0.872991</v>
      </c>
      <c r="U53" s="22">
        <v>0.826995</v>
      </c>
      <c r="V53" s="22">
        <v>0.865623</v>
      </c>
      <c r="W53" s="25">
        <v>0.806433</v>
      </c>
      <c r="X53" s="22">
        <v>236.5</v>
      </c>
      <c r="Y53" s="22">
        <v>32.125</v>
      </c>
      <c r="Z53" s="22">
        <v>0.25</v>
      </c>
      <c r="AA53" s="22">
        <v>7.909926</v>
      </c>
      <c r="AB53" s="22">
        <v>21.130971</v>
      </c>
    </row>
    <row r="54" spans="1:28">
      <c r="A54" s="27"/>
      <c r="B54" s="27"/>
      <c r="C54" s="26" t="s">
        <v>48</v>
      </c>
      <c r="D54" s="22">
        <v>0.984859</v>
      </c>
      <c r="E54" s="22">
        <v>0.842404</v>
      </c>
      <c r="F54" s="22">
        <v>0.017554</v>
      </c>
      <c r="G54" s="22">
        <v>0.034355</v>
      </c>
      <c r="H54" s="22">
        <v>0.831386</v>
      </c>
      <c r="I54" s="22">
        <v>1</v>
      </c>
      <c r="J54" s="22">
        <v>0.902846</v>
      </c>
      <c r="K54" s="22">
        <v>0.005675</v>
      </c>
      <c r="L54" s="22">
        <v>0.831386</v>
      </c>
      <c r="M54" s="22">
        <v>0.201418</v>
      </c>
      <c r="N54" s="22">
        <v>0.322961</v>
      </c>
      <c r="O54" s="22">
        <v>0.900912</v>
      </c>
      <c r="P54" s="22">
        <v>0.914868</v>
      </c>
      <c r="Q54" s="22">
        <v>0.906973</v>
      </c>
      <c r="R54" s="22">
        <v>0.674541</v>
      </c>
      <c r="S54" s="22">
        <v>0.464799</v>
      </c>
      <c r="T54" s="22">
        <v>0.864998</v>
      </c>
      <c r="U54" s="22">
        <v>0.835405</v>
      </c>
      <c r="V54" s="22">
        <v>0.852211</v>
      </c>
      <c r="W54" s="25">
        <v>0.810961</v>
      </c>
      <c r="X54" s="22">
        <v>277.25</v>
      </c>
      <c r="Y54" s="22">
        <v>47</v>
      </c>
      <c r="Z54" s="22">
        <v>0.25</v>
      </c>
      <c r="AA54" s="22">
        <v>1.807595</v>
      </c>
      <c r="AB54" s="22">
        <v>77.022488</v>
      </c>
    </row>
    <row r="55" spans="1:28">
      <c r="A55" s="27"/>
      <c r="B55" s="27"/>
      <c r="C55" s="26" t="s">
        <v>49</v>
      </c>
      <c r="D55" s="22">
        <v>0.219386</v>
      </c>
      <c r="E55" s="22">
        <v>0.586787</v>
      </c>
      <c r="F55" s="22">
        <v>0.508138</v>
      </c>
      <c r="G55" s="22">
        <v>0.521281</v>
      </c>
      <c r="H55" s="22">
        <v>0.66034</v>
      </c>
      <c r="I55" s="22">
        <v>1</v>
      </c>
      <c r="J55" s="22">
        <v>0.759982</v>
      </c>
      <c r="K55" s="22">
        <v>0.194464</v>
      </c>
      <c r="L55" s="22">
        <v>0.636198</v>
      </c>
      <c r="M55" s="22">
        <v>0.242152</v>
      </c>
      <c r="N55" s="22">
        <v>0.312978</v>
      </c>
      <c r="O55" s="22">
        <v>0.681658</v>
      </c>
      <c r="P55" s="22">
        <v>0.950221</v>
      </c>
      <c r="Q55" s="22">
        <v>0.77961</v>
      </c>
      <c r="R55" s="22">
        <v>0.656238</v>
      </c>
      <c r="S55" s="22">
        <v>0.381816</v>
      </c>
      <c r="T55" s="22">
        <v>0.836003</v>
      </c>
      <c r="U55" s="22">
        <v>0.804605</v>
      </c>
      <c r="V55" s="22">
        <v>0.839761</v>
      </c>
      <c r="W55" s="25">
        <v>0.791042</v>
      </c>
      <c r="X55" s="22">
        <v>262.167</v>
      </c>
      <c r="Y55" s="22">
        <v>0</v>
      </c>
      <c r="Z55" s="22">
        <v>0.375</v>
      </c>
      <c r="AA55" s="22">
        <v>4.986619</v>
      </c>
      <c r="AB55" s="22">
        <v>38.392051</v>
      </c>
    </row>
    <row r="56" spans="1:28">
      <c r="A56" s="27"/>
      <c r="B56" s="27"/>
      <c r="C56" s="26" t="s">
        <v>50</v>
      </c>
      <c r="D56" s="22">
        <v>0.900243</v>
      </c>
      <c r="E56" s="22">
        <v>0.599318</v>
      </c>
      <c r="F56" s="22">
        <v>0.03144</v>
      </c>
      <c r="G56" s="22">
        <v>0.057322</v>
      </c>
      <c r="H56" s="22">
        <v>0.679676</v>
      </c>
      <c r="I56" s="22">
        <v>1</v>
      </c>
      <c r="J56" s="22">
        <v>0.78761</v>
      </c>
      <c r="K56" s="22">
        <v>0.012404</v>
      </c>
      <c r="L56" s="22">
        <v>0.679676</v>
      </c>
      <c r="M56" s="22">
        <v>0.201769</v>
      </c>
      <c r="N56" s="22">
        <v>0.303718</v>
      </c>
      <c r="O56" s="22">
        <v>0.658066</v>
      </c>
      <c r="P56" s="22">
        <v>0.96523</v>
      </c>
      <c r="Q56" s="22">
        <v>0.766352</v>
      </c>
      <c r="R56" s="22">
        <v>0.676963</v>
      </c>
      <c r="S56" s="22">
        <v>0.457412</v>
      </c>
      <c r="T56" s="22">
        <v>0.846896</v>
      </c>
      <c r="U56" s="22">
        <v>0.830914</v>
      </c>
      <c r="V56" s="22">
        <v>0.843081</v>
      </c>
      <c r="W56" s="25">
        <v>0.81264</v>
      </c>
      <c r="X56" s="22">
        <v>178.167</v>
      </c>
      <c r="Y56" s="22">
        <v>37.5</v>
      </c>
      <c r="Z56" s="22">
        <v>0.25</v>
      </c>
      <c r="AA56" s="22">
        <v>3.730441</v>
      </c>
      <c r="AB56" s="22">
        <v>46.026888</v>
      </c>
    </row>
    <row r="57" spans="1:28">
      <c r="A57" s="27"/>
      <c r="B57" s="27"/>
      <c r="C57" s="26" t="s">
        <v>51</v>
      </c>
      <c r="D57" s="22">
        <v>0.997666</v>
      </c>
      <c r="E57" s="22">
        <v>0.616379</v>
      </c>
      <c r="F57" s="22">
        <v>0.004421</v>
      </c>
      <c r="G57" s="22">
        <v>0.008744</v>
      </c>
      <c r="H57" s="22">
        <v>0.616935</v>
      </c>
      <c r="I57" s="22">
        <v>0.625</v>
      </c>
      <c r="J57" s="22">
        <v>0.620833</v>
      </c>
      <c r="K57" s="22">
        <v>0.001891</v>
      </c>
      <c r="L57" s="22">
        <v>0.616935</v>
      </c>
      <c r="M57" s="22">
        <v>0.125393</v>
      </c>
      <c r="N57" s="22">
        <v>0.208404</v>
      </c>
      <c r="O57" s="22">
        <v>0.616678</v>
      </c>
      <c r="P57" s="22">
        <v>0.461566</v>
      </c>
      <c r="Q57" s="22">
        <v>0.521005</v>
      </c>
      <c r="R57" s="22">
        <v>0.704657</v>
      </c>
      <c r="S57" s="22">
        <v>0.449271</v>
      </c>
      <c r="T57" s="22">
        <v>0.874398</v>
      </c>
      <c r="U57" s="22">
        <v>0.82275</v>
      </c>
      <c r="V57" s="22">
        <v>0.862459</v>
      </c>
      <c r="W57" s="25">
        <v>0.796472</v>
      </c>
      <c r="X57" s="22">
        <v>136</v>
      </c>
      <c r="Y57" s="22">
        <v>366.833</v>
      </c>
      <c r="Z57" s="22">
        <v>0</v>
      </c>
      <c r="AA57" s="22">
        <v>0.24899</v>
      </c>
      <c r="AB57" s="22">
        <v>611.236111</v>
      </c>
    </row>
    <row r="58" spans="1:28">
      <c r="A58" s="27"/>
      <c r="B58" s="27"/>
      <c r="C58" s="26" t="s">
        <v>52</v>
      </c>
      <c r="D58" s="22">
        <v>0.989396</v>
      </c>
      <c r="E58" s="22">
        <v>0.732995</v>
      </c>
      <c r="F58" s="22">
        <v>0.010137</v>
      </c>
      <c r="G58" s="22">
        <v>0.019976</v>
      </c>
      <c r="H58" s="22">
        <v>0.733143</v>
      </c>
      <c r="I58" s="22">
        <v>1</v>
      </c>
      <c r="J58" s="22">
        <v>0.833262</v>
      </c>
      <c r="K58" s="22">
        <v>0.003558</v>
      </c>
      <c r="L58" s="22">
        <v>0.733143</v>
      </c>
      <c r="M58" s="22">
        <v>0.201238</v>
      </c>
      <c r="N58" s="22">
        <v>0.312241</v>
      </c>
      <c r="O58" s="22">
        <v>0.805951</v>
      </c>
      <c r="P58" s="22">
        <v>0.953841</v>
      </c>
      <c r="Q58" s="22">
        <v>0.870914</v>
      </c>
      <c r="R58" s="22">
        <v>0.695165</v>
      </c>
      <c r="S58" s="22">
        <v>0.476381</v>
      </c>
      <c r="T58" s="22">
        <v>0.820364</v>
      </c>
      <c r="U58" s="22">
        <v>0.802781</v>
      </c>
      <c r="V58" s="22">
        <v>0.819494</v>
      </c>
      <c r="W58" s="25">
        <v>0.789754</v>
      </c>
      <c r="X58" s="22">
        <v>172.667</v>
      </c>
      <c r="Y58" s="22">
        <v>49.25</v>
      </c>
      <c r="Z58" s="22">
        <v>0.25</v>
      </c>
      <c r="AA58" s="22">
        <v>1.455378</v>
      </c>
      <c r="AB58" s="22">
        <v>98.108732</v>
      </c>
    </row>
    <row r="59" spans="1:28">
      <c r="A59" s="27"/>
      <c r="B59" s="27"/>
      <c r="C59" s="26" t="s">
        <v>53</v>
      </c>
      <c r="D59" s="30">
        <v>0.993265</v>
      </c>
      <c r="E59" s="30">
        <v>0.742481</v>
      </c>
      <c r="F59" s="30">
        <v>0.011083</v>
      </c>
      <c r="G59" s="30">
        <v>0.02159</v>
      </c>
      <c r="H59" s="30">
        <v>0.742647</v>
      </c>
      <c r="I59" s="30">
        <v>0.75</v>
      </c>
      <c r="J59" s="30">
        <v>0.746212</v>
      </c>
      <c r="K59" s="30">
        <v>0.012334</v>
      </c>
      <c r="L59" s="30">
        <v>0.742647</v>
      </c>
      <c r="M59" s="30">
        <v>0.151963</v>
      </c>
      <c r="N59" s="30">
        <v>0.252282</v>
      </c>
      <c r="O59" s="30">
        <v>0.826157</v>
      </c>
      <c r="P59" s="30">
        <v>0.703333</v>
      </c>
      <c r="Q59" s="30">
        <v>0.753165</v>
      </c>
      <c r="R59" s="30">
        <v>0.686725</v>
      </c>
      <c r="S59" s="30">
        <v>0.44181</v>
      </c>
      <c r="T59" s="30">
        <v>0.871854</v>
      </c>
      <c r="U59" s="30">
        <v>0.829703</v>
      </c>
      <c r="V59" s="30">
        <v>0.856782</v>
      </c>
      <c r="W59" s="31">
        <v>0.804712</v>
      </c>
      <c r="X59" s="30">
        <v>140</v>
      </c>
      <c r="Y59" s="30">
        <v>393.5</v>
      </c>
      <c r="Z59" s="30">
        <v>0</v>
      </c>
      <c r="AA59" s="30">
        <v>0.265787</v>
      </c>
      <c r="AB59" s="30">
        <v>229.208333</v>
      </c>
    </row>
    <row r="60" spans="1:28">
      <c r="A60" s="27"/>
      <c r="B60" s="27"/>
      <c r="C60" s="26" t="s">
        <v>54</v>
      </c>
      <c r="D60" s="22">
        <v>0.779139</v>
      </c>
      <c r="E60" s="22">
        <v>0.643163</v>
      </c>
      <c r="F60" s="22">
        <v>0.107003</v>
      </c>
      <c r="G60" s="22">
        <v>0.130406</v>
      </c>
      <c r="H60" s="22">
        <v>0.66423</v>
      </c>
      <c r="I60" s="22">
        <v>1</v>
      </c>
      <c r="J60" s="22">
        <v>0.757525</v>
      </c>
      <c r="K60" s="22">
        <v>0.039712</v>
      </c>
      <c r="L60" s="22">
        <v>0.659531</v>
      </c>
      <c r="M60" s="22">
        <v>0.204476</v>
      </c>
      <c r="N60" s="22">
        <v>0.295863</v>
      </c>
      <c r="O60" s="22">
        <v>0.702652</v>
      </c>
      <c r="P60" s="22">
        <v>0.921676</v>
      </c>
      <c r="Q60" s="22">
        <v>0.780678</v>
      </c>
      <c r="R60" s="22">
        <v>0.633296</v>
      </c>
      <c r="S60" s="22">
        <v>0.362518</v>
      </c>
      <c r="T60" s="22">
        <v>0.816439</v>
      </c>
      <c r="U60" s="22">
        <v>0.784707</v>
      </c>
      <c r="V60" s="22">
        <v>0.820901</v>
      </c>
      <c r="W60" s="22">
        <v>0.772839</v>
      </c>
      <c r="X60" s="22">
        <v>260.167</v>
      </c>
      <c r="Y60" s="22">
        <v>34.375</v>
      </c>
      <c r="Z60" s="22">
        <v>0.375</v>
      </c>
      <c r="AA60" s="22">
        <v>4.539622</v>
      </c>
      <c r="AB60" s="22">
        <v>36.879472</v>
      </c>
    </row>
    <row r="61" spans="1:28">
      <c r="A61" s="27"/>
      <c r="B61" s="27"/>
      <c r="C61" s="26" t="s">
        <v>55</v>
      </c>
      <c r="D61" s="32">
        <v>0.986078</v>
      </c>
      <c r="E61" s="32">
        <v>0.725796</v>
      </c>
      <c r="F61" s="32">
        <v>0.018195</v>
      </c>
      <c r="G61" s="32">
        <v>0.035346</v>
      </c>
      <c r="H61" s="32">
        <v>0.674895</v>
      </c>
      <c r="I61" s="32">
        <v>1</v>
      </c>
      <c r="J61" s="32">
        <v>0.767859</v>
      </c>
      <c r="K61" s="32">
        <v>0.015007</v>
      </c>
      <c r="L61" s="32">
        <v>0.648109</v>
      </c>
      <c r="M61" s="32">
        <v>0.204333</v>
      </c>
      <c r="N61" s="32">
        <v>0.283655</v>
      </c>
      <c r="O61" s="32">
        <v>0.792542</v>
      </c>
      <c r="P61" s="32">
        <v>0.841149</v>
      </c>
      <c r="Q61" s="32">
        <v>0.814794</v>
      </c>
      <c r="R61" s="32">
        <v>0.67504</v>
      </c>
      <c r="S61" s="32">
        <v>0.445358</v>
      </c>
      <c r="T61" s="32">
        <v>0.860041</v>
      </c>
      <c r="U61" s="32">
        <v>0.827273</v>
      </c>
      <c r="V61" s="32">
        <v>0.849272</v>
      </c>
      <c r="W61" s="33">
        <v>0.804477</v>
      </c>
      <c r="X61" s="32">
        <v>227.25</v>
      </c>
      <c r="Y61" s="32">
        <v>267.125</v>
      </c>
      <c r="Z61" s="32">
        <v>0.25</v>
      </c>
      <c r="AA61" s="32">
        <v>0.984441</v>
      </c>
      <c r="AB61" s="32">
        <v>155.285094</v>
      </c>
    </row>
    <row r="62" spans="1:28">
      <c r="A62" s="27"/>
      <c r="B62" s="27"/>
      <c r="C62" s="26" t="s">
        <v>56</v>
      </c>
      <c r="D62" s="22">
        <v>0.991165</v>
      </c>
      <c r="E62" s="22">
        <v>0.575169</v>
      </c>
      <c r="F62" s="22">
        <v>0.036102</v>
      </c>
      <c r="G62" s="22">
        <v>0.061799</v>
      </c>
      <c r="H62" s="22">
        <v>0.573661</v>
      </c>
      <c r="I62" s="22">
        <v>0.625</v>
      </c>
      <c r="J62" s="22">
        <v>0.595833</v>
      </c>
      <c r="K62" s="22">
        <v>0.022104</v>
      </c>
      <c r="L62" s="22">
        <v>0.573661</v>
      </c>
      <c r="M62" s="22">
        <v>0.126178</v>
      </c>
      <c r="N62" s="22">
        <v>0.206332</v>
      </c>
      <c r="O62" s="22">
        <v>0.57666</v>
      </c>
      <c r="P62" s="22">
        <v>0.512723</v>
      </c>
      <c r="Q62" s="22">
        <v>0.537651</v>
      </c>
      <c r="R62" s="22">
        <v>0.776175</v>
      </c>
      <c r="S62" s="22">
        <v>0.604879</v>
      </c>
      <c r="T62" s="22">
        <v>0.922734</v>
      </c>
      <c r="U62" s="22">
        <v>0.896093</v>
      </c>
      <c r="V62" s="22">
        <v>0.906709</v>
      </c>
      <c r="W62" s="25">
        <v>0.873054</v>
      </c>
      <c r="X62" s="22">
        <v>144</v>
      </c>
      <c r="Y62" s="22">
        <v>425.833</v>
      </c>
      <c r="Z62" s="22">
        <v>0</v>
      </c>
      <c r="AA62" s="22">
        <v>0.242372</v>
      </c>
      <c r="AB62" s="22">
        <v>371.130952</v>
      </c>
    </row>
    <row r="63" spans="1:28">
      <c r="A63" s="27"/>
      <c r="B63" s="27"/>
      <c r="C63" s="26" t="s">
        <v>57</v>
      </c>
      <c r="D63" s="22">
        <v>0.9967</v>
      </c>
      <c r="E63" s="22">
        <v>0.7229</v>
      </c>
      <c r="F63" s="22">
        <v>0.006865</v>
      </c>
      <c r="G63" s="22">
        <v>0.013577</v>
      </c>
      <c r="H63" s="22">
        <v>0.663474</v>
      </c>
      <c r="I63" s="22">
        <v>1</v>
      </c>
      <c r="J63" s="22">
        <v>0.775851</v>
      </c>
      <c r="K63" s="22">
        <v>0.006343</v>
      </c>
      <c r="L63" s="22">
        <v>0.663474</v>
      </c>
      <c r="M63" s="22">
        <v>0.20199</v>
      </c>
      <c r="N63" s="22">
        <v>0.301817</v>
      </c>
      <c r="O63" s="22">
        <v>0.787797</v>
      </c>
      <c r="P63" s="22">
        <v>0.82458</v>
      </c>
      <c r="Q63" s="22">
        <v>0.804339</v>
      </c>
      <c r="R63" s="22">
        <v>0.687194</v>
      </c>
      <c r="S63" s="22">
        <v>0.481607</v>
      </c>
      <c r="T63" s="22">
        <v>0.888339</v>
      </c>
      <c r="U63" s="22">
        <v>0.862293</v>
      </c>
      <c r="V63" s="22">
        <v>0.867751</v>
      </c>
      <c r="W63" s="25">
        <v>0.832196</v>
      </c>
      <c r="X63" s="22">
        <v>236.75</v>
      </c>
      <c r="Y63" s="22">
        <v>69.625</v>
      </c>
      <c r="Z63" s="22">
        <v>0.25</v>
      </c>
      <c r="AA63" s="22">
        <v>0.402885</v>
      </c>
      <c r="AB63" s="22">
        <v>225.162103</v>
      </c>
    </row>
    <row r="64" spans="1:28">
      <c r="A64" s="27"/>
      <c r="B64" s="27"/>
      <c r="C64" s="26" t="s">
        <v>58</v>
      </c>
      <c r="D64" s="22">
        <v>0.998914</v>
      </c>
      <c r="E64" s="22">
        <v>0.435096</v>
      </c>
      <c r="F64" s="22">
        <v>0.003361</v>
      </c>
      <c r="G64" s="22">
        <v>0.00661</v>
      </c>
      <c r="H64" s="22">
        <v>0.45</v>
      </c>
      <c r="I64" s="22">
        <v>0.5</v>
      </c>
      <c r="J64" s="22">
        <v>0.46875</v>
      </c>
      <c r="K64" s="22">
        <v>0.006054</v>
      </c>
      <c r="L64" s="22">
        <v>0.45</v>
      </c>
      <c r="M64" s="22">
        <v>0.101311</v>
      </c>
      <c r="N64" s="22">
        <v>0.164258</v>
      </c>
      <c r="O64" s="22">
        <v>0.437936</v>
      </c>
      <c r="P64" s="22">
        <v>0.328871</v>
      </c>
      <c r="Q64" s="22">
        <v>0.36356</v>
      </c>
      <c r="R64" s="22">
        <v>0.698095</v>
      </c>
      <c r="S64" s="22">
        <v>0.510528</v>
      </c>
      <c r="T64" s="22">
        <v>0.867617</v>
      </c>
      <c r="U64" s="22">
        <v>0.836024</v>
      </c>
      <c r="V64" s="22">
        <v>0.854539</v>
      </c>
      <c r="W64" s="25">
        <v>0.818362</v>
      </c>
      <c r="X64" s="22">
        <v>122</v>
      </c>
      <c r="Y64" s="22">
        <v>1745.75</v>
      </c>
      <c r="Z64" s="22">
        <v>0</v>
      </c>
      <c r="AA64" s="22">
        <v>0.033784</v>
      </c>
      <c r="AB64" s="22" t="s">
        <v>0</v>
      </c>
    </row>
    <row r="65" spans="1:28">
      <c r="A65" s="27"/>
      <c r="B65" s="27"/>
      <c r="C65" s="26" t="s">
        <v>59</v>
      </c>
      <c r="D65" s="22">
        <v>0.710967</v>
      </c>
      <c r="E65" s="22">
        <v>0.541194</v>
      </c>
      <c r="F65" s="22">
        <v>0.224503</v>
      </c>
      <c r="G65" s="22">
        <v>0.259071</v>
      </c>
      <c r="H65" s="22">
        <v>0.611264</v>
      </c>
      <c r="I65" s="22">
        <v>0.75</v>
      </c>
      <c r="J65" s="22">
        <v>0.655882</v>
      </c>
      <c r="K65" s="22">
        <v>0.145664</v>
      </c>
      <c r="L65" s="22">
        <v>0.577266</v>
      </c>
      <c r="M65" s="22">
        <v>0.233193</v>
      </c>
      <c r="N65" s="22">
        <v>0.281577</v>
      </c>
      <c r="O65" s="22">
        <v>0.584976</v>
      </c>
      <c r="P65" s="22">
        <v>0.686339</v>
      </c>
      <c r="Q65" s="22">
        <v>0.616142</v>
      </c>
      <c r="R65" s="22">
        <v>0.694666</v>
      </c>
      <c r="S65" s="22">
        <v>0.418213</v>
      </c>
      <c r="T65" s="22">
        <v>0.847473</v>
      </c>
      <c r="U65" s="22">
        <v>0.806299</v>
      </c>
      <c r="V65" s="22">
        <v>0.8524</v>
      </c>
      <c r="W65" s="25">
        <v>0.798344</v>
      </c>
      <c r="X65" s="22">
        <v>111.75</v>
      </c>
      <c r="Y65" s="22">
        <v>29.667</v>
      </c>
      <c r="Z65" s="22">
        <v>0.125</v>
      </c>
      <c r="AA65" s="22">
        <v>0.390635</v>
      </c>
      <c r="AB65" s="22">
        <v>439.251488</v>
      </c>
    </row>
    <row r="66" spans="1:28">
      <c r="A66" s="27"/>
      <c r="B66" s="27"/>
      <c r="C66" s="26" t="s">
        <v>60</v>
      </c>
      <c r="D66" s="22">
        <v>0.963195</v>
      </c>
      <c r="E66" s="22">
        <v>0.688781</v>
      </c>
      <c r="F66" s="22">
        <v>0.026527</v>
      </c>
      <c r="G66" s="22">
        <v>0.044824</v>
      </c>
      <c r="H66" s="22">
        <v>0.752824</v>
      </c>
      <c r="I66" s="22">
        <v>1</v>
      </c>
      <c r="J66" s="22">
        <v>0.843209</v>
      </c>
      <c r="K66" s="22">
        <v>0.006996</v>
      </c>
      <c r="L66" s="22">
        <v>0.7517</v>
      </c>
      <c r="M66" s="22">
        <v>0.201341</v>
      </c>
      <c r="N66" s="22">
        <v>0.31319</v>
      </c>
      <c r="O66" s="22">
        <v>0.739118</v>
      </c>
      <c r="P66" s="22">
        <v>0.852317</v>
      </c>
      <c r="Q66" s="22">
        <v>0.764472</v>
      </c>
      <c r="R66" s="22">
        <v>0.644477</v>
      </c>
      <c r="S66" s="22">
        <v>0.363556</v>
      </c>
      <c r="T66" s="22">
        <v>0.829433</v>
      </c>
      <c r="U66" s="22">
        <v>0.795543</v>
      </c>
      <c r="V66" s="22">
        <v>0.832702</v>
      </c>
      <c r="W66" s="25">
        <v>0.781385</v>
      </c>
      <c r="X66" s="22">
        <v>177.5</v>
      </c>
      <c r="Y66" s="22">
        <v>286.375</v>
      </c>
      <c r="Z66" s="22">
        <v>0</v>
      </c>
      <c r="AA66" s="22">
        <v>3.41734</v>
      </c>
      <c r="AB66" s="22">
        <v>168.158025</v>
      </c>
    </row>
    <row r="67" spans="1:28">
      <c r="A67" s="27"/>
      <c r="B67" s="27"/>
      <c r="C67" s="26" t="s">
        <v>61</v>
      </c>
      <c r="D67" s="22">
        <v>0.998483</v>
      </c>
      <c r="E67" s="22">
        <v>0.375</v>
      </c>
      <c r="F67" s="22">
        <v>0.014209</v>
      </c>
      <c r="G67" s="22">
        <v>0.026424</v>
      </c>
      <c r="H67" s="22">
        <v>0.375</v>
      </c>
      <c r="I67" s="22">
        <v>0.375</v>
      </c>
      <c r="J67" s="22">
        <v>0.375</v>
      </c>
      <c r="K67" s="22">
        <v>0.016642</v>
      </c>
      <c r="L67" s="22">
        <v>0.375</v>
      </c>
      <c r="M67" s="22">
        <v>0.08177</v>
      </c>
      <c r="N67" s="22">
        <v>0.134191</v>
      </c>
      <c r="O67" s="22">
        <v>0.379704</v>
      </c>
      <c r="P67" s="22">
        <v>0.229314</v>
      </c>
      <c r="Q67" s="22">
        <v>0.265543</v>
      </c>
      <c r="R67" s="22">
        <v>0.848171</v>
      </c>
      <c r="S67" s="22">
        <v>0.607282</v>
      </c>
      <c r="T67" s="22">
        <v>0.949114</v>
      </c>
      <c r="U67" s="22">
        <v>0.902084</v>
      </c>
      <c r="V67" s="22">
        <v>0.938254</v>
      </c>
      <c r="W67" s="25">
        <v>0.879272</v>
      </c>
      <c r="X67" s="22">
        <v>144</v>
      </c>
      <c r="Y67" s="22">
        <v>2462.5</v>
      </c>
      <c r="Z67" s="22">
        <v>0</v>
      </c>
      <c r="AA67" s="22">
        <v>0.00607</v>
      </c>
      <c r="AB67" s="22" t="s">
        <v>0</v>
      </c>
    </row>
    <row r="68" spans="1:28">
      <c r="A68" s="27"/>
      <c r="B68" s="27"/>
      <c r="C68" s="26" t="s">
        <v>62</v>
      </c>
      <c r="D68" s="22">
        <v>0.999812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0.00427</v>
      </c>
      <c r="P68" s="22">
        <v>0.031646</v>
      </c>
      <c r="Q68" s="22">
        <v>0.007524</v>
      </c>
      <c r="R68" s="22">
        <v>0.690619</v>
      </c>
      <c r="S68" s="22">
        <v>0.426323</v>
      </c>
      <c r="T68" s="22">
        <v>0.876603</v>
      </c>
      <c r="U68" s="22">
        <v>0.831931</v>
      </c>
      <c r="V68" s="22">
        <v>0.865624</v>
      </c>
      <c r="W68" s="25">
        <v>0.811212</v>
      </c>
      <c r="X68" s="22">
        <v>144</v>
      </c>
      <c r="Y68" s="22" t="s">
        <v>0</v>
      </c>
      <c r="Z68" s="22">
        <v>0</v>
      </c>
      <c r="AA68" s="22">
        <v>0.006754</v>
      </c>
      <c r="AB68" s="22" t="s">
        <v>0</v>
      </c>
    </row>
    <row r="69" spans="1:28">
      <c r="A69" s="27"/>
      <c r="B69" s="27"/>
      <c r="C69" s="26" t="s">
        <v>63</v>
      </c>
      <c r="D69" s="22">
        <v>0.974056</v>
      </c>
      <c r="E69" s="22">
        <v>0.308654</v>
      </c>
      <c r="F69" s="22">
        <v>0.051083</v>
      </c>
      <c r="G69" s="22">
        <v>0.084874</v>
      </c>
      <c r="H69" s="22">
        <v>0.301136</v>
      </c>
      <c r="I69" s="22">
        <v>0.375</v>
      </c>
      <c r="J69" s="22">
        <v>0.327381</v>
      </c>
      <c r="K69" s="22">
        <v>0.03393</v>
      </c>
      <c r="L69" s="22">
        <v>0.291396</v>
      </c>
      <c r="M69" s="22">
        <v>0.086698</v>
      </c>
      <c r="N69" s="22">
        <v>0.130842</v>
      </c>
      <c r="O69" s="22">
        <v>0.310176</v>
      </c>
      <c r="P69" s="22">
        <v>0.31135</v>
      </c>
      <c r="Q69" s="22">
        <v>0.31004</v>
      </c>
      <c r="R69" s="22">
        <v>0.695742</v>
      </c>
      <c r="S69" s="22">
        <v>0.435221</v>
      </c>
      <c r="T69" s="22">
        <v>0.865762</v>
      </c>
      <c r="U69" s="22">
        <v>0.820911</v>
      </c>
      <c r="V69" s="22">
        <v>0.854913</v>
      </c>
      <c r="W69" s="25">
        <v>0.800977</v>
      </c>
      <c r="X69" s="22">
        <v>144</v>
      </c>
      <c r="Y69" s="22">
        <v>351.5</v>
      </c>
      <c r="Z69" s="22">
        <v>0</v>
      </c>
      <c r="AA69" s="22">
        <v>0.06272</v>
      </c>
      <c r="AB69" s="22">
        <v>734</v>
      </c>
    </row>
    <row r="70" spans="1:28">
      <c r="A70" s="27"/>
      <c r="B70" s="27"/>
      <c r="C70" s="26" t="s">
        <v>64</v>
      </c>
      <c r="D70" s="22">
        <v>0.804367</v>
      </c>
      <c r="E70" s="22">
        <v>0.597435</v>
      </c>
      <c r="F70" s="22">
        <v>0.194359</v>
      </c>
      <c r="G70" s="22">
        <v>0.253073</v>
      </c>
      <c r="H70" s="22">
        <v>0.586238</v>
      </c>
      <c r="I70" s="22">
        <v>1</v>
      </c>
      <c r="J70" s="22">
        <v>0.662925</v>
      </c>
      <c r="K70" s="22">
        <v>0.072693</v>
      </c>
      <c r="L70" s="22">
        <v>0.585885</v>
      </c>
      <c r="M70" s="22">
        <v>0.211123</v>
      </c>
      <c r="N70" s="22">
        <v>0.266129</v>
      </c>
      <c r="O70" s="22">
        <v>0.677192</v>
      </c>
      <c r="P70" s="22">
        <v>0.900007</v>
      </c>
      <c r="Q70" s="22">
        <v>0.766941</v>
      </c>
      <c r="R70" s="22">
        <v>0.665465</v>
      </c>
      <c r="S70" s="22">
        <v>0.434318</v>
      </c>
      <c r="T70" s="22">
        <v>0.84086</v>
      </c>
      <c r="U70" s="22">
        <v>0.819954</v>
      </c>
      <c r="V70" s="22">
        <v>0.838769</v>
      </c>
      <c r="W70" s="25">
        <v>0.796725</v>
      </c>
      <c r="X70" s="22">
        <v>264</v>
      </c>
      <c r="Y70" s="22">
        <v>28.125</v>
      </c>
      <c r="Z70" s="22">
        <v>0.375</v>
      </c>
      <c r="AA70" s="22">
        <v>2.797571</v>
      </c>
      <c r="AB70" s="22">
        <v>53.713169</v>
      </c>
    </row>
    <row r="71" spans="1:28">
      <c r="A71" s="27"/>
      <c r="B71" s="22" t="s">
        <v>65</v>
      </c>
      <c r="C71" s="26" t="s">
        <v>66</v>
      </c>
      <c r="D71" s="22">
        <v>0.991044</v>
      </c>
      <c r="E71" s="22">
        <v>0.641211</v>
      </c>
      <c r="F71" s="22">
        <v>0.009541</v>
      </c>
      <c r="G71" s="22">
        <v>0.018715</v>
      </c>
      <c r="H71" s="22">
        <v>0.640753</v>
      </c>
      <c r="I71" s="22">
        <v>0.75</v>
      </c>
      <c r="J71" s="22">
        <v>0.684587</v>
      </c>
      <c r="K71" s="22">
        <v>0.003555</v>
      </c>
      <c r="L71" s="22">
        <v>0.640753</v>
      </c>
      <c r="M71" s="22">
        <v>0.150755</v>
      </c>
      <c r="N71" s="22">
        <v>0.242484</v>
      </c>
      <c r="O71" s="22">
        <v>0.672216</v>
      </c>
      <c r="P71" s="22">
        <v>0.699776</v>
      </c>
      <c r="Q71" s="22">
        <v>0.684286</v>
      </c>
      <c r="R71" s="22">
        <v>0.683315</v>
      </c>
      <c r="S71" s="22">
        <v>0.462317</v>
      </c>
      <c r="T71" s="22">
        <v>0.872441</v>
      </c>
      <c r="U71" s="22">
        <v>0.83961</v>
      </c>
      <c r="V71" s="22">
        <v>0.857949</v>
      </c>
      <c r="W71" s="25">
        <v>0.811181</v>
      </c>
      <c r="X71" s="22">
        <v>112.75</v>
      </c>
      <c r="Y71" s="22">
        <v>41.167</v>
      </c>
      <c r="Z71" s="22">
        <v>0</v>
      </c>
      <c r="AA71" s="22">
        <v>0.950969</v>
      </c>
      <c r="AB71" s="22">
        <v>138.096913</v>
      </c>
    </row>
    <row r="72" spans="1:28">
      <c r="A72" s="27"/>
      <c r="B72" s="28"/>
      <c r="C72" s="26" t="s">
        <v>67</v>
      </c>
      <c r="D72" s="22">
        <v>0.997591</v>
      </c>
      <c r="E72" s="22">
        <v>0.964594</v>
      </c>
      <c r="F72" s="22">
        <v>0.005389</v>
      </c>
      <c r="G72" s="22">
        <v>0.010699</v>
      </c>
      <c r="H72" s="22">
        <v>0.947917</v>
      </c>
      <c r="I72" s="22">
        <v>1</v>
      </c>
      <c r="J72" s="22">
        <v>0.969565</v>
      </c>
      <c r="K72" s="22">
        <v>0.006243</v>
      </c>
      <c r="L72" s="22">
        <v>0.947917</v>
      </c>
      <c r="M72" s="22">
        <v>0.202049</v>
      </c>
      <c r="N72" s="22">
        <v>0.332304</v>
      </c>
      <c r="O72" s="22">
        <v>0.976149</v>
      </c>
      <c r="P72" s="22">
        <v>0.658064</v>
      </c>
      <c r="Q72" s="22">
        <v>0.778093</v>
      </c>
      <c r="R72" s="22">
        <v>0.676544</v>
      </c>
      <c r="S72" s="22">
        <v>0.456246</v>
      </c>
      <c r="T72" s="22">
        <v>0.861073</v>
      </c>
      <c r="U72" s="22">
        <v>0.830858</v>
      </c>
      <c r="V72" s="22">
        <v>0.848258</v>
      </c>
      <c r="W72" s="25">
        <v>0.804841</v>
      </c>
      <c r="X72" s="22">
        <v>177</v>
      </c>
      <c r="Y72" s="22">
        <v>699.5</v>
      </c>
      <c r="Z72" s="22">
        <v>0</v>
      </c>
      <c r="AA72" s="22">
        <v>0.31311</v>
      </c>
      <c r="AB72" s="22">
        <v>386.823214</v>
      </c>
    </row>
    <row r="73" spans="1:28">
      <c r="A73" s="27"/>
      <c r="B73" s="22" t="s">
        <v>68</v>
      </c>
      <c r="C73" s="26" t="s">
        <v>69</v>
      </c>
      <c r="D73" s="22">
        <v>0.995254</v>
      </c>
      <c r="E73" s="22">
        <v>0.907738</v>
      </c>
      <c r="F73" s="22">
        <v>0.004301</v>
      </c>
      <c r="G73" s="22">
        <v>0.008558</v>
      </c>
      <c r="H73" s="22">
        <v>0.907946</v>
      </c>
      <c r="I73" s="22">
        <v>1</v>
      </c>
      <c r="J73" s="22">
        <v>0.942452</v>
      </c>
      <c r="K73" s="22">
        <v>0.003183</v>
      </c>
      <c r="L73" s="22">
        <v>0.907946</v>
      </c>
      <c r="M73" s="22">
        <v>0.201229</v>
      </c>
      <c r="N73" s="22">
        <v>0.327089</v>
      </c>
      <c r="O73" s="22">
        <v>0.928928</v>
      </c>
      <c r="P73" s="22">
        <v>0.782435</v>
      </c>
      <c r="Q73" s="22">
        <v>0.840365</v>
      </c>
      <c r="R73" s="22">
        <v>0.678036</v>
      </c>
      <c r="S73" s="22">
        <v>0.460872</v>
      </c>
      <c r="T73" s="22">
        <v>0.863777</v>
      </c>
      <c r="U73" s="22">
        <v>0.834856</v>
      </c>
      <c r="V73" s="22">
        <v>0.852839</v>
      </c>
      <c r="W73" s="25">
        <v>0.809849</v>
      </c>
      <c r="X73" s="22">
        <v>177</v>
      </c>
      <c r="Y73" s="22">
        <v>306</v>
      </c>
      <c r="Z73" s="22">
        <v>0</v>
      </c>
      <c r="AA73" s="22">
        <v>0.622604</v>
      </c>
      <c r="AB73" s="22">
        <v>308.835843</v>
      </c>
    </row>
    <row r="74" spans="1:28">
      <c r="A74" s="27"/>
      <c r="B74" s="27"/>
      <c r="C74" s="26" t="s">
        <v>70</v>
      </c>
      <c r="D74" s="22">
        <v>0.993481</v>
      </c>
      <c r="E74" s="22">
        <v>0.890199</v>
      </c>
      <c r="F74" s="22">
        <v>0.01001</v>
      </c>
      <c r="G74" s="22">
        <v>0.019584</v>
      </c>
      <c r="H74" s="22">
        <v>0.958333</v>
      </c>
      <c r="I74" s="22">
        <v>1</v>
      </c>
      <c r="J74" s="22">
        <v>0.977273</v>
      </c>
      <c r="K74" s="22">
        <v>0.013617</v>
      </c>
      <c r="L74" s="22">
        <v>0.883333</v>
      </c>
      <c r="M74" s="22">
        <v>0.205397</v>
      </c>
      <c r="N74" s="22">
        <v>0.331606</v>
      </c>
      <c r="O74" s="22">
        <v>0.933667</v>
      </c>
      <c r="P74" s="22">
        <v>0.766881</v>
      </c>
      <c r="Q74" s="22">
        <v>0.836823</v>
      </c>
      <c r="R74" s="22">
        <v>0.689178</v>
      </c>
      <c r="S74" s="22">
        <v>0.480239</v>
      </c>
      <c r="T74" s="22">
        <v>0.869975</v>
      </c>
      <c r="U74" s="22">
        <v>0.839708</v>
      </c>
      <c r="V74" s="22">
        <v>0.859244</v>
      </c>
      <c r="W74" s="25">
        <v>0.817991</v>
      </c>
      <c r="X74" s="22">
        <v>46</v>
      </c>
      <c r="Y74" s="22">
        <v>153</v>
      </c>
      <c r="Z74" s="22">
        <v>0</v>
      </c>
      <c r="AA74" s="22">
        <v>0.624544</v>
      </c>
      <c r="AB74" s="22">
        <v>199.620952</v>
      </c>
    </row>
    <row r="75" spans="1:28">
      <c r="A75" s="27"/>
      <c r="B75" s="27"/>
      <c r="C75" s="26" t="s">
        <v>71</v>
      </c>
      <c r="D75" s="22">
        <v>0.99453</v>
      </c>
      <c r="E75" s="22">
        <v>0.976671</v>
      </c>
      <c r="F75" s="22">
        <v>0.007295</v>
      </c>
      <c r="G75" s="22">
        <v>0.014447</v>
      </c>
      <c r="H75" s="22">
        <v>0.96494</v>
      </c>
      <c r="I75" s="22">
        <v>1</v>
      </c>
      <c r="J75" s="22">
        <v>0.981126</v>
      </c>
      <c r="K75" s="22">
        <v>0.006179</v>
      </c>
      <c r="L75" s="22">
        <v>0.96494</v>
      </c>
      <c r="M75" s="22">
        <v>0.202031</v>
      </c>
      <c r="N75" s="22">
        <v>0.333912</v>
      </c>
      <c r="O75" s="22">
        <v>0.982307</v>
      </c>
      <c r="P75" s="22">
        <v>0.819355</v>
      </c>
      <c r="Q75" s="22">
        <v>0.890146</v>
      </c>
      <c r="R75" s="22">
        <v>0.690559</v>
      </c>
      <c r="S75" s="22">
        <v>0.456524</v>
      </c>
      <c r="T75" s="22">
        <v>0.880683</v>
      </c>
      <c r="U75" s="22">
        <v>0.848638</v>
      </c>
      <c r="V75" s="22">
        <v>0.863601</v>
      </c>
      <c r="W75" s="25">
        <v>0.818009</v>
      </c>
      <c r="X75" s="22">
        <v>177</v>
      </c>
      <c r="Y75" s="22">
        <v>305.25</v>
      </c>
      <c r="Z75" s="22">
        <v>0</v>
      </c>
      <c r="AA75" s="22">
        <v>0.622267</v>
      </c>
      <c r="AB75" s="22">
        <v>184.260714</v>
      </c>
    </row>
    <row r="76" spans="1:28">
      <c r="A76" s="27"/>
      <c r="B76" s="28"/>
      <c r="C76" s="26" t="s">
        <v>72</v>
      </c>
      <c r="D76" s="22">
        <v>0.995895</v>
      </c>
      <c r="E76" s="22">
        <v>0.846149</v>
      </c>
      <c r="F76" s="22">
        <v>0.00633</v>
      </c>
      <c r="G76" s="22">
        <v>0.012474</v>
      </c>
      <c r="H76" s="22">
        <v>0.836572</v>
      </c>
      <c r="I76" s="22">
        <v>1</v>
      </c>
      <c r="J76" s="22">
        <v>0.896086</v>
      </c>
      <c r="K76" s="22">
        <v>0.004483</v>
      </c>
      <c r="L76" s="22">
        <v>0.836572</v>
      </c>
      <c r="M76" s="22">
        <v>0.201312</v>
      </c>
      <c r="N76" s="22">
        <v>0.320579</v>
      </c>
      <c r="O76" s="22">
        <v>0.854647</v>
      </c>
      <c r="P76" s="22">
        <v>0.771929</v>
      </c>
      <c r="Q76" s="22">
        <v>0.801623</v>
      </c>
      <c r="R76" s="22">
        <v>0.698655</v>
      </c>
      <c r="S76" s="22">
        <v>0.473052</v>
      </c>
      <c r="T76" s="22">
        <v>0.87157</v>
      </c>
      <c r="U76" s="22">
        <v>0.837891</v>
      </c>
      <c r="V76" s="22">
        <v>0.858195</v>
      </c>
      <c r="W76" s="25">
        <v>0.810178</v>
      </c>
      <c r="X76" s="22">
        <v>177.5</v>
      </c>
      <c r="Y76" s="22">
        <v>89.875</v>
      </c>
      <c r="Z76" s="22">
        <v>0</v>
      </c>
      <c r="AA76" s="22">
        <v>0.503303</v>
      </c>
      <c r="AB76" s="22">
        <v>302.403082</v>
      </c>
    </row>
    <row r="77" spans="1:28">
      <c r="A77" s="28"/>
      <c r="B77" s="22" t="s">
        <v>73</v>
      </c>
      <c r="C77" s="26" t="s">
        <v>74</v>
      </c>
      <c r="D77" s="22">
        <v>0.991501</v>
      </c>
      <c r="E77" s="22">
        <v>0.527121</v>
      </c>
      <c r="F77" s="22">
        <v>0.004204</v>
      </c>
      <c r="G77" s="22">
        <v>0.008316</v>
      </c>
      <c r="H77" s="22">
        <v>0.594345</v>
      </c>
      <c r="I77" s="22">
        <v>0.75</v>
      </c>
      <c r="J77" s="22">
        <v>0.652976</v>
      </c>
      <c r="K77" s="22">
        <v>0.004384</v>
      </c>
      <c r="L77" s="22">
        <v>0.594345</v>
      </c>
      <c r="M77" s="22">
        <v>0.151425</v>
      </c>
      <c r="N77" s="22">
        <v>0.238512</v>
      </c>
      <c r="O77" s="22">
        <v>0.574064</v>
      </c>
      <c r="P77" s="22">
        <v>0.542393</v>
      </c>
      <c r="Q77" s="22">
        <v>0.551609</v>
      </c>
      <c r="R77" s="22">
        <v>0.693578</v>
      </c>
      <c r="S77" s="22">
        <v>0.47387</v>
      </c>
      <c r="T77" s="22">
        <v>0.893438</v>
      </c>
      <c r="U77" s="22">
        <v>0.87336</v>
      </c>
      <c r="V77" s="22">
        <v>0.87932</v>
      </c>
      <c r="W77" s="25">
        <v>0.84561</v>
      </c>
      <c r="X77" s="22">
        <v>92.5</v>
      </c>
      <c r="Y77" s="22">
        <v>101</v>
      </c>
      <c r="Z77" s="22">
        <v>0</v>
      </c>
      <c r="AA77" s="22">
        <v>0.5326</v>
      </c>
      <c r="AB77" s="22">
        <v>230.703878</v>
      </c>
    </row>
    <row r="84" spans="1:1">
      <c r="A84" t="s">
        <v>112</v>
      </c>
    </row>
    <row r="85" spans="1:1">
      <c r="A85" t="s">
        <v>113</v>
      </c>
    </row>
  </sheetData>
  <mergeCells count="12">
    <mergeCell ref="A3:A38"/>
    <mergeCell ref="A42:A77"/>
    <mergeCell ref="B3:B5"/>
    <mergeCell ref="B6:B13"/>
    <mergeCell ref="B14:B31"/>
    <mergeCell ref="B32:B33"/>
    <mergeCell ref="B34:B37"/>
    <mergeCell ref="B42:B44"/>
    <mergeCell ref="B45:B52"/>
    <mergeCell ref="B53:B70"/>
    <mergeCell ref="B71:B72"/>
    <mergeCell ref="B73:B76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B77"/>
  <sheetViews>
    <sheetView workbookViewId="0">
      <selection activeCell="A1" sqref="A1"/>
    </sheetView>
  </sheetViews>
  <sheetFormatPr defaultColWidth="14" defaultRowHeight="16.5"/>
  <cols>
    <col min="4" max="23" width="14.7083333333333" style="1" customWidth="1"/>
    <col min="24" max="25" width="19.7083333333333" style="1" customWidth="1"/>
    <col min="26" max="26" width="17.7083333333333" style="1" customWidth="1"/>
    <col min="27" max="27" width="26.7083333333333" style="1" customWidth="1"/>
    <col min="28" max="28" width="15.7083333333333" style="1" customWidth="1"/>
  </cols>
  <sheetData>
    <row r="2" spans="1:28">
      <c r="A2" s="22" t="s">
        <v>0</v>
      </c>
      <c r="B2" s="22" t="s">
        <v>0</v>
      </c>
      <c r="C2" s="23" t="s">
        <v>0</v>
      </c>
      <c r="D2" s="24" t="s">
        <v>7</v>
      </c>
      <c r="E2" s="22" t="s">
        <v>8</v>
      </c>
      <c r="F2" s="22" t="s">
        <v>9</v>
      </c>
      <c r="G2" s="22" t="s">
        <v>10</v>
      </c>
      <c r="H2" s="22" t="s">
        <v>11</v>
      </c>
      <c r="I2" s="22" t="s">
        <v>12</v>
      </c>
      <c r="J2" s="22" t="s">
        <v>13</v>
      </c>
      <c r="K2" s="22" t="s">
        <v>14</v>
      </c>
      <c r="L2" s="22" t="s">
        <v>15</v>
      </c>
      <c r="M2" s="22" t="s">
        <v>16</v>
      </c>
      <c r="N2" s="22" t="s">
        <v>17</v>
      </c>
      <c r="O2" s="22" t="s">
        <v>18</v>
      </c>
      <c r="P2" s="22" t="s">
        <v>19</v>
      </c>
      <c r="Q2" s="22" t="s">
        <v>20</v>
      </c>
      <c r="R2" s="22" t="s">
        <v>21</v>
      </c>
      <c r="S2" s="22" t="s">
        <v>22</v>
      </c>
      <c r="T2" s="22" t="s">
        <v>23</v>
      </c>
      <c r="U2" s="22" t="s">
        <v>24</v>
      </c>
      <c r="V2" s="22" t="s">
        <v>25</v>
      </c>
      <c r="W2" s="25" t="s">
        <v>26</v>
      </c>
      <c r="X2" s="22" t="s">
        <v>27</v>
      </c>
      <c r="Y2" s="22" t="s">
        <v>28</v>
      </c>
      <c r="Z2" s="22" t="s">
        <v>29</v>
      </c>
      <c r="AA2" s="24" t="s">
        <v>30</v>
      </c>
      <c r="AB2" s="24" t="s">
        <v>31</v>
      </c>
    </row>
    <row r="3" spans="1:28">
      <c r="A3" s="22" t="s">
        <v>114</v>
      </c>
      <c r="B3" s="22" t="s">
        <v>33</v>
      </c>
      <c r="C3" s="26" t="s">
        <v>34</v>
      </c>
      <c r="D3" s="22">
        <v>1</v>
      </c>
      <c r="E3" s="22">
        <v>0</v>
      </c>
      <c r="F3" s="22">
        <v>0</v>
      </c>
      <c r="G3" s="22">
        <v>0</v>
      </c>
      <c r="H3" s="22">
        <v>0</v>
      </c>
      <c r="I3" s="22">
        <v>0</v>
      </c>
      <c r="J3" s="22">
        <v>0</v>
      </c>
      <c r="K3" s="22">
        <v>0</v>
      </c>
      <c r="L3" s="22">
        <v>0</v>
      </c>
      <c r="M3" s="22">
        <v>0</v>
      </c>
      <c r="N3" s="22">
        <v>0</v>
      </c>
      <c r="O3" s="22">
        <v>0</v>
      </c>
      <c r="P3" s="22">
        <v>0</v>
      </c>
      <c r="Q3" s="22">
        <v>0</v>
      </c>
      <c r="R3" s="22">
        <v>0.740566</v>
      </c>
      <c r="S3" s="22">
        <v>0.520091</v>
      </c>
      <c r="T3" s="22">
        <v>0.973478</v>
      </c>
      <c r="U3" s="22">
        <v>0.941325</v>
      </c>
      <c r="V3" s="22">
        <v>0.934183</v>
      </c>
      <c r="W3" s="25">
        <v>0.874965</v>
      </c>
      <c r="X3" s="22" t="s">
        <v>0</v>
      </c>
      <c r="Y3" s="22" t="s">
        <v>0</v>
      </c>
      <c r="Z3" s="22">
        <v>0</v>
      </c>
      <c r="AA3" s="22">
        <v>0</v>
      </c>
      <c r="AB3" s="22" t="s">
        <v>0</v>
      </c>
    </row>
    <row r="4" spans="1:28">
      <c r="A4" s="27"/>
      <c r="B4" s="27"/>
      <c r="C4" s="26" t="s">
        <v>35</v>
      </c>
      <c r="D4" s="22">
        <v>0.299866</v>
      </c>
      <c r="E4" s="22">
        <v>0.747849</v>
      </c>
      <c r="F4" s="22">
        <v>0.772404</v>
      </c>
      <c r="G4" s="22">
        <v>0.746849</v>
      </c>
      <c r="H4" s="22">
        <v>0.694118</v>
      </c>
      <c r="I4" s="22">
        <v>1</v>
      </c>
      <c r="J4" s="22">
        <v>0.793792</v>
      </c>
      <c r="K4" s="22">
        <v>0.495533</v>
      </c>
      <c r="L4" s="22">
        <v>0.690546</v>
      </c>
      <c r="M4" s="22">
        <v>0.226069</v>
      </c>
      <c r="N4" s="22">
        <v>0.33321</v>
      </c>
      <c r="O4" s="22">
        <v>0.797711</v>
      </c>
      <c r="P4" s="22">
        <v>0.993824</v>
      </c>
      <c r="Q4" s="22">
        <v>0.883494</v>
      </c>
      <c r="R4" s="22">
        <v>0.760963</v>
      </c>
      <c r="S4" s="22">
        <v>0.563651</v>
      </c>
      <c r="T4" s="22">
        <v>0.973152</v>
      </c>
      <c r="U4" s="22">
        <v>0.945567</v>
      </c>
      <c r="V4" s="22">
        <v>0.932389</v>
      </c>
      <c r="W4" s="25">
        <v>0.883028</v>
      </c>
      <c r="X4" s="22">
        <v>427</v>
      </c>
      <c r="Y4" s="22">
        <v>0</v>
      </c>
      <c r="Z4" s="22">
        <v>0.5</v>
      </c>
      <c r="AA4" s="22">
        <v>3.662651</v>
      </c>
      <c r="AB4" s="22">
        <v>41.576902</v>
      </c>
    </row>
    <row r="5" spans="1:28">
      <c r="A5" s="27"/>
      <c r="B5" s="28"/>
      <c r="C5" s="26" t="s">
        <v>36</v>
      </c>
      <c r="D5" s="22">
        <v>0.13571</v>
      </c>
      <c r="E5" s="22">
        <v>0.714349</v>
      </c>
      <c r="F5" s="22">
        <v>0.908995</v>
      </c>
      <c r="G5" s="22">
        <v>0.782983</v>
      </c>
      <c r="H5" s="22">
        <v>0.54772</v>
      </c>
      <c r="I5" s="22">
        <v>1</v>
      </c>
      <c r="J5" s="22">
        <v>0.646104</v>
      </c>
      <c r="K5" s="22">
        <v>0.439118</v>
      </c>
      <c r="L5" s="22">
        <v>0.54658</v>
      </c>
      <c r="M5" s="22">
        <v>0.248516</v>
      </c>
      <c r="N5" s="22">
        <v>0.296388</v>
      </c>
      <c r="O5" s="22">
        <v>0.774265</v>
      </c>
      <c r="P5" s="22">
        <v>0.999445</v>
      </c>
      <c r="Q5" s="22">
        <v>0.868854</v>
      </c>
      <c r="R5" s="22">
        <v>0.740627</v>
      </c>
      <c r="S5" s="22">
        <v>0.541473</v>
      </c>
      <c r="T5" s="22">
        <v>0.969328</v>
      </c>
      <c r="U5" s="22">
        <v>0.942171</v>
      </c>
      <c r="V5" s="22">
        <v>0.924064</v>
      </c>
      <c r="W5" s="25">
        <v>0.875928</v>
      </c>
      <c r="X5" s="22">
        <v>432</v>
      </c>
      <c r="Y5" s="22">
        <v>0</v>
      </c>
      <c r="Z5" s="22">
        <v>0.5</v>
      </c>
      <c r="AA5" s="22">
        <v>3.493976</v>
      </c>
      <c r="AB5" s="22">
        <v>43.038172</v>
      </c>
    </row>
    <row r="6" spans="1:28">
      <c r="A6" s="27"/>
      <c r="B6" s="22" t="s">
        <v>37</v>
      </c>
      <c r="C6" s="26" t="s">
        <v>38</v>
      </c>
      <c r="D6" s="22">
        <v>1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0.66103</v>
      </c>
      <c r="S6" s="22">
        <v>0.47491</v>
      </c>
      <c r="T6" s="22">
        <v>0.940545</v>
      </c>
      <c r="U6" s="22">
        <v>0.921333</v>
      </c>
      <c r="V6" s="22">
        <v>0.895537</v>
      </c>
      <c r="W6" s="25">
        <v>0.863483</v>
      </c>
      <c r="X6" s="22" t="s">
        <v>0</v>
      </c>
      <c r="Y6" s="22" t="s">
        <v>0</v>
      </c>
      <c r="Z6" s="22">
        <v>0</v>
      </c>
      <c r="AA6" s="22">
        <v>0</v>
      </c>
      <c r="AB6" s="22" t="s">
        <v>0</v>
      </c>
    </row>
    <row r="7" spans="1:28">
      <c r="A7" s="27"/>
      <c r="B7" s="27"/>
      <c r="C7" s="26" t="s">
        <v>39</v>
      </c>
      <c r="D7" s="22">
        <v>0.993641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0.689434</v>
      </c>
      <c r="S7" s="22">
        <v>0.542102</v>
      </c>
      <c r="T7" s="22">
        <v>0.936875</v>
      </c>
      <c r="U7" s="22">
        <v>0.916276</v>
      </c>
      <c r="V7" s="22">
        <v>0.900426</v>
      </c>
      <c r="W7" s="25">
        <v>0.86873</v>
      </c>
      <c r="X7" s="22" t="s">
        <v>0</v>
      </c>
      <c r="Y7" s="22" t="s">
        <v>0</v>
      </c>
      <c r="Z7" s="22">
        <v>0</v>
      </c>
      <c r="AA7" s="22">
        <v>0.216867</v>
      </c>
      <c r="AB7" s="22">
        <v>56.5</v>
      </c>
    </row>
    <row r="8" spans="1:28">
      <c r="A8" s="27"/>
      <c r="B8" s="27"/>
      <c r="C8" s="26" t="s">
        <v>40</v>
      </c>
      <c r="D8" s="22">
        <v>0.677711</v>
      </c>
      <c r="E8" s="22">
        <v>0.634629</v>
      </c>
      <c r="F8" s="22">
        <v>0.354579</v>
      </c>
      <c r="G8" s="22">
        <v>0.419519</v>
      </c>
      <c r="H8" s="22">
        <v>0.660714</v>
      </c>
      <c r="I8" s="22">
        <v>1</v>
      </c>
      <c r="J8" s="22">
        <v>0.792208</v>
      </c>
      <c r="K8" s="22">
        <v>0.235398</v>
      </c>
      <c r="L8" s="22">
        <v>0.637434</v>
      </c>
      <c r="M8" s="22">
        <v>0.275427</v>
      </c>
      <c r="N8" s="22">
        <v>0.376328</v>
      </c>
      <c r="O8" s="22">
        <v>0.688449</v>
      </c>
      <c r="P8" s="22">
        <v>0.924843</v>
      </c>
      <c r="Q8" s="22">
        <v>0.788918</v>
      </c>
      <c r="R8" s="22">
        <v>0.662777</v>
      </c>
      <c r="S8" s="22">
        <v>0.430872</v>
      </c>
      <c r="T8" s="22">
        <v>0.971037</v>
      </c>
      <c r="U8" s="22">
        <v>0.939386</v>
      </c>
      <c r="V8" s="22">
        <v>0.923929</v>
      </c>
      <c r="W8" s="25">
        <v>0.863069</v>
      </c>
      <c r="X8" s="22">
        <v>390</v>
      </c>
      <c r="Y8" s="22">
        <v>46.5</v>
      </c>
      <c r="Z8" s="22">
        <v>0.5</v>
      </c>
      <c r="AA8" s="22">
        <v>0.409639</v>
      </c>
      <c r="AB8" s="22">
        <v>346.3125</v>
      </c>
    </row>
    <row r="9" spans="1:28">
      <c r="A9" s="27"/>
      <c r="B9" s="27"/>
      <c r="C9" s="26" t="s">
        <v>41</v>
      </c>
      <c r="D9" s="22">
        <v>0.146419</v>
      </c>
      <c r="E9" s="22">
        <v>0.714405</v>
      </c>
      <c r="F9" s="22">
        <v>0.887116</v>
      </c>
      <c r="G9" s="22">
        <v>0.772828</v>
      </c>
      <c r="H9" s="22">
        <v>0.541475</v>
      </c>
      <c r="I9" s="22">
        <v>1</v>
      </c>
      <c r="J9" s="22">
        <v>0.645749</v>
      </c>
      <c r="K9" s="22">
        <v>0.439817</v>
      </c>
      <c r="L9" s="22">
        <v>0.539783</v>
      </c>
      <c r="M9" s="22">
        <v>0.273448</v>
      </c>
      <c r="N9" s="22">
        <v>0.314514</v>
      </c>
      <c r="O9" s="22">
        <v>0.774319</v>
      </c>
      <c r="P9" s="22">
        <v>0.998513</v>
      </c>
      <c r="Q9" s="22">
        <v>0.868738</v>
      </c>
      <c r="R9" s="22">
        <v>0.767414</v>
      </c>
      <c r="S9" s="22">
        <v>0.56177</v>
      </c>
      <c r="T9" s="22">
        <v>0.973439</v>
      </c>
      <c r="U9" s="22">
        <v>0.944663</v>
      </c>
      <c r="V9" s="22">
        <v>0.932824</v>
      </c>
      <c r="W9" s="25">
        <v>0.88056</v>
      </c>
      <c r="X9" s="22">
        <v>432</v>
      </c>
      <c r="Y9" s="22">
        <v>0</v>
      </c>
      <c r="Z9" s="22">
        <v>0.5</v>
      </c>
      <c r="AA9" s="22">
        <v>2.53012</v>
      </c>
      <c r="AB9" s="22">
        <v>61.629221</v>
      </c>
    </row>
    <row r="10" spans="1:28">
      <c r="A10" s="27"/>
      <c r="B10" s="27"/>
      <c r="C10" s="26" t="s">
        <v>42</v>
      </c>
      <c r="D10" s="22">
        <v>0.943106</v>
      </c>
      <c r="E10" s="22">
        <v>0.485743</v>
      </c>
      <c r="F10" s="22">
        <v>0.029341</v>
      </c>
      <c r="G10" s="22">
        <v>0.05525</v>
      </c>
      <c r="H10" s="22">
        <v>0.499386</v>
      </c>
      <c r="I10" s="22">
        <v>1</v>
      </c>
      <c r="J10" s="22">
        <v>0.582462</v>
      </c>
      <c r="K10" s="22">
        <v>0.010817</v>
      </c>
      <c r="L10" s="22">
        <v>0.499386</v>
      </c>
      <c r="M10" s="22">
        <v>0.201586</v>
      </c>
      <c r="N10" s="22">
        <v>0.244653</v>
      </c>
      <c r="O10" s="22">
        <v>0.592938</v>
      </c>
      <c r="P10" s="22">
        <v>0.838193</v>
      </c>
      <c r="Q10" s="22">
        <v>0.639405</v>
      </c>
      <c r="R10" s="22">
        <v>0.68095</v>
      </c>
      <c r="S10" s="22">
        <v>0.511387</v>
      </c>
      <c r="T10" s="22">
        <v>0.913086</v>
      </c>
      <c r="U10" s="22">
        <v>0.892688</v>
      </c>
      <c r="V10" s="22">
        <v>0.887608</v>
      </c>
      <c r="W10" s="25">
        <v>0.854115</v>
      </c>
      <c r="X10" s="22">
        <v>203</v>
      </c>
      <c r="Y10" s="22">
        <v>356</v>
      </c>
      <c r="Z10" s="22">
        <v>0</v>
      </c>
      <c r="AA10" s="22">
        <v>3.204819</v>
      </c>
      <c r="AB10" s="22">
        <v>45.481183</v>
      </c>
    </row>
    <row r="11" spans="1:28">
      <c r="A11" s="27"/>
      <c r="B11" s="27"/>
      <c r="C11" s="26" t="s">
        <v>43</v>
      </c>
      <c r="D11" s="22">
        <v>0.829652</v>
      </c>
      <c r="E11" s="22">
        <v>0.823765</v>
      </c>
      <c r="F11" s="22">
        <v>0.201775</v>
      </c>
      <c r="G11" s="22">
        <v>0.31735</v>
      </c>
      <c r="H11" s="22">
        <v>0.712644</v>
      </c>
      <c r="I11" s="22">
        <v>1</v>
      </c>
      <c r="J11" s="22">
        <v>0.831373</v>
      </c>
      <c r="K11" s="22">
        <v>0.12236</v>
      </c>
      <c r="L11" s="22">
        <v>0.712644</v>
      </c>
      <c r="M11" s="22">
        <v>0.20846</v>
      </c>
      <c r="N11" s="22">
        <v>0.322402</v>
      </c>
      <c r="O11" s="22">
        <v>0.848418</v>
      </c>
      <c r="P11" s="22">
        <v>0.913549</v>
      </c>
      <c r="Q11" s="22">
        <v>0.877478</v>
      </c>
      <c r="R11" s="22">
        <v>0.762078</v>
      </c>
      <c r="S11" s="22">
        <v>0.546996</v>
      </c>
      <c r="T11" s="22">
        <v>0.957746</v>
      </c>
      <c r="U11" s="22">
        <v>0.918632</v>
      </c>
      <c r="V11" s="22">
        <v>0.919892</v>
      </c>
      <c r="W11" s="25">
        <v>0.859521</v>
      </c>
      <c r="X11" s="22">
        <v>386</v>
      </c>
      <c r="Y11" s="22">
        <v>89</v>
      </c>
      <c r="Z11" s="22">
        <v>0.5</v>
      </c>
      <c r="AA11" s="22">
        <v>2.168675</v>
      </c>
      <c r="AB11" s="22">
        <v>61.097844</v>
      </c>
    </row>
    <row r="12" spans="1:28">
      <c r="A12" s="27"/>
      <c r="B12" s="27"/>
      <c r="C12" s="29" t="s">
        <v>44</v>
      </c>
      <c r="D12" s="22">
        <v>0.862784</v>
      </c>
      <c r="E12" s="22">
        <v>0.599678</v>
      </c>
      <c r="F12" s="22">
        <v>0.112225</v>
      </c>
      <c r="G12" s="22">
        <v>0.183395</v>
      </c>
      <c r="H12" s="22">
        <v>0.664146</v>
      </c>
      <c r="I12" s="22">
        <v>1</v>
      </c>
      <c r="J12" s="22">
        <v>0.772521</v>
      </c>
      <c r="K12" s="22">
        <v>0.028034</v>
      </c>
      <c r="L12" s="22">
        <v>0.662675</v>
      </c>
      <c r="M12" s="22">
        <v>0.201419</v>
      </c>
      <c r="N12" s="22">
        <v>0.300987</v>
      </c>
      <c r="O12" s="22">
        <v>0.699133</v>
      </c>
      <c r="P12" s="22">
        <v>0.936744</v>
      </c>
      <c r="Q12" s="22">
        <v>0.778535</v>
      </c>
      <c r="R12" s="22">
        <v>0.669465</v>
      </c>
      <c r="S12" s="22">
        <v>0.502459</v>
      </c>
      <c r="T12" s="22">
        <v>0.956369</v>
      </c>
      <c r="U12" s="22">
        <v>0.935959</v>
      </c>
      <c r="V12" s="22">
        <v>0.90799</v>
      </c>
      <c r="W12" s="25">
        <v>0.873822</v>
      </c>
      <c r="X12" s="22">
        <v>428</v>
      </c>
      <c r="Y12" s="22">
        <v>216</v>
      </c>
      <c r="Z12" s="22">
        <v>0.5</v>
      </c>
      <c r="AA12" s="22">
        <v>9.46988</v>
      </c>
      <c r="AB12" s="22">
        <v>15.133136</v>
      </c>
    </row>
    <row r="13" spans="1:28">
      <c r="A13" s="27"/>
      <c r="B13" s="28"/>
      <c r="C13" s="26" t="s">
        <v>45</v>
      </c>
      <c r="D13" s="22">
        <v>0.152276</v>
      </c>
      <c r="E13" s="22">
        <v>0.714866</v>
      </c>
      <c r="F13" s="22">
        <v>0.883633</v>
      </c>
      <c r="G13" s="22">
        <v>0.771487</v>
      </c>
      <c r="H13" s="22">
        <v>0.526042</v>
      </c>
      <c r="I13" s="22">
        <v>1</v>
      </c>
      <c r="J13" s="22">
        <v>0.634033</v>
      </c>
      <c r="K13" s="22">
        <v>0.433965</v>
      </c>
      <c r="L13" s="22">
        <v>0.524403</v>
      </c>
      <c r="M13" s="22">
        <v>0.276818</v>
      </c>
      <c r="N13" s="22">
        <v>0.315058</v>
      </c>
      <c r="O13" s="22">
        <v>0.774431</v>
      </c>
      <c r="P13" s="22">
        <v>0.997473</v>
      </c>
      <c r="Q13" s="22">
        <v>0.868433</v>
      </c>
      <c r="R13" s="22">
        <v>0.739108</v>
      </c>
      <c r="S13" s="22">
        <v>0.505499</v>
      </c>
      <c r="T13" s="22">
        <v>0.970417</v>
      </c>
      <c r="U13" s="22">
        <v>0.939462</v>
      </c>
      <c r="V13" s="22">
        <v>0.926412</v>
      </c>
      <c r="W13" s="25">
        <v>0.870188</v>
      </c>
      <c r="X13" s="22">
        <v>432</v>
      </c>
      <c r="Y13" s="22">
        <v>0</v>
      </c>
      <c r="Z13" s="22">
        <v>0.5</v>
      </c>
      <c r="AA13" s="22">
        <v>2.433735</v>
      </c>
      <c r="AB13" s="22">
        <v>62.527376</v>
      </c>
    </row>
    <row r="14" spans="1:28">
      <c r="A14" s="27"/>
      <c r="B14" s="30" t="s">
        <v>46</v>
      </c>
      <c r="C14" s="26" t="s">
        <v>47</v>
      </c>
      <c r="D14" s="22">
        <v>0.35927</v>
      </c>
      <c r="E14" s="22">
        <v>0.705691</v>
      </c>
      <c r="F14" s="22">
        <v>0.664662</v>
      </c>
      <c r="G14" s="22">
        <v>0.659372</v>
      </c>
      <c r="H14" s="22">
        <v>0.724933</v>
      </c>
      <c r="I14" s="22">
        <v>1</v>
      </c>
      <c r="J14" s="22">
        <v>0.834302</v>
      </c>
      <c r="K14" s="22">
        <v>0.202673</v>
      </c>
      <c r="L14" s="22">
        <v>0.723967</v>
      </c>
      <c r="M14" s="22">
        <v>0.204936</v>
      </c>
      <c r="N14" s="22">
        <v>0.317612</v>
      </c>
      <c r="O14" s="22">
        <v>0.771454</v>
      </c>
      <c r="P14" s="22">
        <v>0.997365</v>
      </c>
      <c r="Q14" s="22">
        <v>0.865111</v>
      </c>
      <c r="R14" s="22">
        <v>0.699342</v>
      </c>
      <c r="S14" s="22">
        <v>0.522977</v>
      </c>
      <c r="T14" s="22">
        <v>0.977987</v>
      </c>
      <c r="U14" s="22">
        <v>0.942219</v>
      </c>
      <c r="V14" s="22">
        <v>0.945269</v>
      </c>
      <c r="W14" s="25">
        <v>0.880412</v>
      </c>
      <c r="X14" s="22">
        <v>432</v>
      </c>
      <c r="Y14" s="22">
        <v>0.5</v>
      </c>
      <c r="Z14" s="22">
        <v>0.5</v>
      </c>
      <c r="AA14" s="22">
        <v>16.481928</v>
      </c>
      <c r="AB14" s="22">
        <v>9.132791</v>
      </c>
    </row>
    <row r="15" spans="1:28">
      <c r="A15" s="27"/>
      <c r="B15" s="27"/>
      <c r="C15" s="26" t="s">
        <v>48</v>
      </c>
      <c r="D15" s="22">
        <v>0.996319</v>
      </c>
      <c r="E15" s="22">
        <v>0.403846</v>
      </c>
      <c r="F15" s="22">
        <v>0.00248</v>
      </c>
      <c r="G15" s="22">
        <v>0.004907</v>
      </c>
      <c r="H15" s="22">
        <v>0.416667</v>
      </c>
      <c r="I15" s="22">
        <v>1</v>
      </c>
      <c r="J15" s="22">
        <v>0.583333</v>
      </c>
      <c r="K15" s="22">
        <v>0.001981</v>
      </c>
      <c r="L15" s="22">
        <v>0.416667</v>
      </c>
      <c r="M15" s="22">
        <v>0.200794</v>
      </c>
      <c r="N15" s="22">
        <v>0.268572</v>
      </c>
      <c r="O15" s="22">
        <v>0.560866</v>
      </c>
      <c r="P15" s="22">
        <v>0.78825</v>
      </c>
      <c r="Q15" s="22">
        <v>0.654624</v>
      </c>
      <c r="R15" s="22">
        <v>0.681945</v>
      </c>
      <c r="S15" s="22">
        <v>0.465519</v>
      </c>
      <c r="T15" s="22">
        <v>0.959122</v>
      </c>
      <c r="U15" s="22">
        <v>0.929441</v>
      </c>
      <c r="V15" s="22">
        <v>0.920839</v>
      </c>
      <c r="W15" s="25">
        <v>0.87247</v>
      </c>
      <c r="X15" s="22">
        <v>328</v>
      </c>
      <c r="Y15" s="22">
        <v>351</v>
      </c>
      <c r="Z15" s="22">
        <v>0.5</v>
      </c>
      <c r="AA15" s="22">
        <v>0.506024</v>
      </c>
      <c r="AB15" s="22">
        <v>267.75</v>
      </c>
    </row>
    <row r="16" spans="1:28">
      <c r="A16" s="27"/>
      <c r="B16" s="27"/>
      <c r="C16" s="26" t="s">
        <v>49</v>
      </c>
      <c r="D16" s="22">
        <v>0.149933</v>
      </c>
      <c r="E16" s="22">
        <v>0.714452</v>
      </c>
      <c r="F16" s="22">
        <v>0.884131</v>
      </c>
      <c r="G16" s="22">
        <v>0.771401</v>
      </c>
      <c r="H16" s="22">
        <v>0.533956</v>
      </c>
      <c r="I16" s="22">
        <v>1</v>
      </c>
      <c r="J16" s="22">
        <v>0.641353</v>
      </c>
      <c r="K16" s="22">
        <v>0.438016</v>
      </c>
      <c r="L16" s="22">
        <v>0.532264</v>
      </c>
      <c r="M16" s="22">
        <v>0.275521</v>
      </c>
      <c r="N16" s="22">
        <v>0.316327</v>
      </c>
      <c r="O16" s="22">
        <v>0.774246</v>
      </c>
      <c r="P16" s="22">
        <v>0.997612</v>
      </c>
      <c r="Q16" s="22">
        <v>0.868352</v>
      </c>
      <c r="R16" s="22">
        <v>0.766128</v>
      </c>
      <c r="S16" s="22">
        <v>0.551248</v>
      </c>
      <c r="T16" s="22">
        <v>0.9735</v>
      </c>
      <c r="U16" s="22">
        <v>0.943567</v>
      </c>
      <c r="V16" s="22">
        <v>0.933164</v>
      </c>
      <c r="W16" s="25">
        <v>0.878499</v>
      </c>
      <c r="X16" s="22">
        <v>432</v>
      </c>
      <c r="Y16" s="22">
        <v>0</v>
      </c>
      <c r="Z16" s="22">
        <v>0.5</v>
      </c>
      <c r="AA16" s="22">
        <v>2.433735</v>
      </c>
      <c r="AB16" s="22">
        <v>63.899953</v>
      </c>
    </row>
    <row r="17" spans="1:28">
      <c r="A17" s="27"/>
      <c r="B17" s="27"/>
      <c r="C17" s="26" t="s">
        <v>50</v>
      </c>
      <c r="D17" s="22">
        <v>0.908969</v>
      </c>
      <c r="E17" s="22">
        <v>0.465004</v>
      </c>
      <c r="F17" s="22">
        <v>0.103096</v>
      </c>
      <c r="G17" s="22">
        <v>0.166072</v>
      </c>
      <c r="H17" s="22">
        <v>0.552381</v>
      </c>
      <c r="I17" s="22">
        <v>1</v>
      </c>
      <c r="J17" s="22">
        <v>0.711462</v>
      </c>
      <c r="K17" s="22">
        <v>0.075099</v>
      </c>
      <c r="L17" s="22">
        <v>0.549351</v>
      </c>
      <c r="M17" s="22">
        <v>0.203636</v>
      </c>
      <c r="N17" s="22">
        <v>0.296958</v>
      </c>
      <c r="O17" s="22">
        <v>0.531245</v>
      </c>
      <c r="P17" s="22">
        <v>0.966635</v>
      </c>
      <c r="Q17" s="22">
        <v>0.634475</v>
      </c>
      <c r="R17" s="22">
        <v>0.677074</v>
      </c>
      <c r="S17" s="22">
        <v>0.380916</v>
      </c>
      <c r="T17" s="22">
        <v>0.95111</v>
      </c>
      <c r="U17" s="22">
        <v>0.902923</v>
      </c>
      <c r="V17" s="22">
        <v>0.910502</v>
      </c>
      <c r="W17" s="25">
        <v>0.844314</v>
      </c>
      <c r="X17" s="22">
        <v>340</v>
      </c>
      <c r="Y17" s="22">
        <v>0</v>
      </c>
      <c r="Z17" s="22">
        <v>0.5</v>
      </c>
      <c r="AA17" s="22">
        <v>3.807229</v>
      </c>
      <c r="AB17" s="22">
        <v>41.686186</v>
      </c>
    </row>
    <row r="18" spans="1:28">
      <c r="A18" s="27"/>
      <c r="B18" s="27"/>
      <c r="C18" s="26" t="s">
        <v>51</v>
      </c>
      <c r="D18" s="22">
        <v>0.970549</v>
      </c>
      <c r="E18" s="22">
        <v>0.606636</v>
      </c>
      <c r="F18" s="22">
        <v>0.023823</v>
      </c>
      <c r="G18" s="22">
        <v>0.04481</v>
      </c>
      <c r="H18" s="22">
        <v>0.619728</v>
      </c>
      <c r="I18" s="22">
        <v>1</v>
      </c>
      <c r="J18" s="22">
        <v>0.717134</v>
      </c>
      <c r="K18" s="22">
        <v>0.00592</v>
      </c>
      <c r="L18" s="22">
        <v>0.619728</v>
      </c>
      <c r="M18" s="22">
        <v>0.201307</v>
      </c>
      <c r="N18" s="22">
        <v>0.286965</v>
      </c>
      <c r="O18" s="22">
        <v>0.72614</v>
      </c>
      <c r="P18" s="22">
        <v>0.88836</v>
      </c>
      <c r="Q18" s="22">
        <v>0.778415</v>
      </c>
      <c r="R18" s="22">
        <v>0.626276</v>
      </c>
      <c r="S18" s="22">
        <v>0.330182</v>
      </c>
      <c r="T18" s="22">
        <v>0.944676</v>
      </c>
      <c r="U18" s="22">
        <v>0.910474</v>
      </c>
      <c r="V18" s="22">
        <v>0.905016</v>
      </c>
      <c r="W18" s="25">
        <v>0.844859</v>
      </c>
      <c r="X18" s="22">
        <v>347</v>
      </c>
      <c r="Y18" s="22">
        <v>284</v>
      </c>
      <c r="Z18" s="22">
        <v>0.5</v>
      </c>
      <c r="AA18" s="22">
        <v>2.771084</v>
      </c>
      <c r="AB18" s="22">
        <v>49.654874</v>
      </c>
    </row>
    <row r="19" spans="1:28">
      <c r="A19" s="27"/>
      <c r="B19" s="27"/>
      <c r="C19" s="26" t="s">
        <v>52</v>
      </c>
      <c r="D19" s="22">
        <v>0.990127</v>
      </c>
      <c r="E19" s="22">
        <v>0.727778</v>
      </c>
      <c r="F19" s="22">
        <v>0.009433</v>
      </c>
      <c r="G19" s="22">
        <v>0.018604</v>
      </c>
      <c r="H19" s="22">
        <v>0.727778</v>
      </c>
      <c r="I19" s="22">
        <v>1</v>
      </c>
      <c r="J19" s="22">
        <v>0.830827</v>
      </c>
      <c r="K19" s="22">
        <v>0.001983</v>
      </c>
      <c r="L19" s="22">
        <v>0.727778</v>
      </c>
      <c r="M19" s="22">
        <v>0.200794</v>
      </c>
      <c r="N19" s="22">
        <v>0.311656</v>
      </c>
      <c r="O19" s="22">
        <v>0.788205</v>
      </c>
      <c r="P19" s="22">
        <v>0.953832</v>
      </c>
      <c r="Q19" s="22">
        <v>0.857813</v>
      </c>
      <c r="R19" s="22">
        <v>0.685206</v>
      </c>
      <c r="S19" s="22">
        <v>0.519071</v>
      </c>
      <c r="T19" s="22">
        <v>0.962105</v>
      </c>
      <c r="U19" s="22">
        <v>0.913971</v>
      </c>
      <c r="V19" s="22">
        <v>0.917681</v>
      </c>
      <c r="W19" s="25">
        <v>0.859938</v>
      </c>
      <c r="X19" s="22">
        <v>282</v>
      </c>
      <c r="Y19" s="22">
        <v>10</v>
      </c>
      <c r="Z19" s="22">
        <v>0</v>
      </c>
      <c r="AA19" s="22">
        <v>1.301205</v>
      </c>
      <c r="AB19" s="22">
        <v>109.454273</v>
      </c>
    </row>
    <row r="20" spans="1:28">
      <c r="A20" s="27"/>
      <c r="B20" s="27"/>
      <c r="C20" s="26" t="s">
        <v>53</v>
      </c>
      <c r="D20" s="30">
        <v>0.975234</v>
      </c>
      <c r="E20" s="30">
        <v>0.306338</v>
      </c>
      <c r="F20" s="30">
        <v>0.007447</v>
      </c>
      <c r="G20" s="30">
        <v>0.014277</v>
      </c>
      <c r="H20" s="30">
        <v>0.336957</v>
      </c>
      <c r="I20" s="30">
        <v>1</v>
      </c>
      <c r="J20" s="30">
        <v>0.481481</v>
      </c>
      <c r="K20" s="30">
        <v>0.006872</v>
      </c>
      <c r="L20" s="30">
        <v>0.336957</v>
      </c>
      <c r="M20" s="30">
        <v>0.201722</v>
      </c>
      <c r="N20" s="30">
        <v>0.237167</v>
      </c>
      <c r="O20" s="30">
        <v>0.471285</v>
      </c>
      <c r="P20" s="30">
        <v>0.831802</v>
      </c>
      <c r="Q20" s="30">
        <v>0.59885</v>
      </c>
      <c r="R20" s="30">
        <v>0.616201</v>
      </c>
      <c r="S20" s="30">
        <v>0.350529</v>
      </c>
      <c r="T20" s="30">
        <v>0.948701</v>
      </c>
      <c r="U20" s="30">
        <v>0.913072</v>
      </c>
      <c r="V20" s="30">
        <v>0.903235</v>
      </c>
      <c r="W20" s="31">
        <v>0.845655</v>
      </c>
      <c r="X20" s="30">
        <v>331</v>
      </c>
      <c r="Y20" s="30">
        <v>350</v>
      </c>
      <c r="Z20" s="30">
        <v>0.5</v>
      </c>
      <c r="AA20" s="30">
        <v>1.445783</v>
      </c>
      <c r="AB20" s="30">
        <v>95.134615</v>
      </c>
    </row>
    <row r="21" spans="1:28">
      <c r="A21" s="27"/>
      <c r="B21" s="27"/>
      <c r="C21" s="26" t="s">
        <v>54</v>
      </c>
      <c r="D21" s="22">
        <v>0.11496</v>
      </c>
      <c r="E21" s="22">
        <v>0.707541</v>
      </c>
      <c r="F21" s="22">
        <v>0.90799</v>
      </c>
      <c r="G21" s="22">
        <v>0.776877</v>
      </c>
      <c r="H21" s="22">
        <v>0.477778</v>
      </c>
      <c r="I21" s="22">
        <v>1</v>
      </c>
      <c r="J21" s="22">
        <v>0.604895</v>
      </c>
      <c r="K21" s="22">
        <v>0.446578</v>
      </c>
      <c r="L21" s="22">
        <v>0.475577</v>
      </c>
      <c r="M21" s="22">
        <v>0.295888</v>
      </c>
      <c r="N21" s="22">
        <v>0.323603</v>
      </c>
      <c r="O21" s="22">
        <v>0.769643</v>
      </c>
      <c r="P21" s="22">
        <v>0.997813</v>
      </c>
      <c r="Q21" s="22">
        <v>0.865073</v>
      </c>
      <c r="R21" s="22">
        <v>0.704508</v>
      </c>
      <c r="S21" s="22">
        <v>0.510904</v>
      </c>
      <c r="T21" s="22">
        <v>0.964638</v>
      </c>
      <c r="U21" s="22">
        <v>0.93601</v>
      </c>
      <c r="V21" s="22">
        <v>0.913399</v>
      </c>
      <c r="W21" s="22">
        <v>0.863713</v>
      </c>
      <c r="X21" s="22">
        <v>432</v>
      </c>
      <c r="Y21" s="22">
        <v>0</v>
      </c>
      <c r="Z21" s="22">
        <v>0.5</v>
      </c>
      <c r="AA21" s="22">
        <v>2.120482</v>
      </c>
      <c r="AB21" s="22">
        <v>68.4375</v>
      </c>
    </row>
    <row r="22" spans="1:28">
      <c r="A22" s="27"/>
      <c r="B22" s="27"/>
      <c r="C22" s="26" t="s">
        <v>55</v>
      </c>
      <c r="D22" s="32">
        <v>0.963521</v>
      </c>
      <c r="E22" s="32">
        <v>0.462475</v>
      </c>
      <c r="F22" s="32">
        <v>0.019861</v>
      </c>
      <c r="G22" s="32">
        <v>0.037624</v>
      </c>
      <c r="H22" s="32">
        <v>0.45942</v>
      </c>
      <c r="I22" s="32">
        <v>1</v>
      </c>
      <c r="J22" s="32">
        <v>0.605263</v>
      </c>
      <c r="K22" s="32">
        <v>0.005912</v>
      </c>
      <c r="L22" s="32">
        <v>0.45942</v>
      </c>
      <c r="M22" s="32">
        <v>0.201026</v>
      </c>
      <c r="N22" s="32">
        <v>0.268291</v>
      </c>
      <c r="O22" s="32">
        <v>0.590214</v>
      </c>
      <c r="P22" s="32">
        <v>0.874361</v>
      </c>
      <c r="Q22" s="32">
        <v>0.693387</v>
      </c>
      <c r="R22" s="32">
        <v>0.604376</v>
      </c>
      <c r="S22" s="32">
        <v>0.313409</v>
      </c>
      <c r="T22" s="32">
        <v>0.933412</v>
      </c>
      <c r="U22" s="32">
        <v>0.896279</v>
      </c>
      <c r="V22" s="32">
        <v>0.891388</v>
      </c>
      <c r="W22" s="33">
        <v>0.830703</v>
      </c>
      <c r="X22" s="32">
        <v>330</v>
      </c>
      <c r="Y22" s="32">
        <v>274.5</v>
      </c>
      <c r="Z22" s="32">
        <v>0.5</v>
      </c>
      <c r="AA22" s="32">
        <v>3.710843</v>
      </c>
      <c r="AB22" s="32">
        <v>35.836842</v>
      </c>
    </row>
    <row r="23" spans="1:28">
      <c r="A23" s="27"/>
      <c r="B23" s="27"/>
      <c r="C23" s="26" t="s">
        <v>56</v>
      </c>
      <c r="D23" s="22">
        <v>0.984605</v>
      </c>
      <c r="E23" s="22">
        <v>0.521739</v>
      </c>
      <c r="F23" s="22">
        <v>0.006466</v>
      </c>
      <c r="G23" s="22">
        <v>0.012768</v>
      </c>
      <c r="H23" s="22">
        <v>0.583333</v>
      </c>
      <c r="I23" s="22">
        <v>1</v>
      </c>
      <c r="J23" s="22">
        <v>0.642857</v>
      </c>
      <c r="K23" s="22">
        <v>0.007902</v>
      </c>
      <c r="L23" s="22">
        <v>0.583333</v>
      </c>
      <c r="M23" s="22">
        <v>0.201988</v>
      </c>
      <c r="N23" s="22">
        <v>0.259945</v>
      </c>
      <c r="O23" s="22">
        <v>0.711754</v>
      </c>
      <c r="P23" s="22">
        <v>0.797386</v>
      </c>
      <c r="Q23" s="22">
        <v>0.712746</v>
      </c>
      <c r="R23" s="22">
        <v>0.65371</v>
      </c>
      <c r="S23" s="22">
        <v>0.476685</v>
      </c>
      <c r="T23" s="22">
        <v>0.911366</v>
      </c>
      <c r="U23" s="22">
        <v>0.88565</v>
      </c>
      <c r="V23" s="22">
        <v>0.882377</v>
      </c>
      <c r="W23" s="25">
        <v>0.842492</v>
      </c>
      <c r="X23" s="22">
        <v>111</v>
      </c>
      <c r="Y23" s="22">
        <v>428.5</v>
      </c>
      <c r="Z23" s="22">
        <v>0</v>
      </c>
      <c r="AA23" s="22">
        <v>0.843373</v>
      </c>
      <c r="AB23" s="22">
        <v>165.597222</v>
      </c>
    </row>
    <row r="24" spans="1:28">
      <c r="A24" s="27"/>
      <c r="B24" s="27"/>
      <c r="C24" s="26" t="s">
        <v>57</v>
      </c>
      <c r="D24" s="22">
        <v>0.97172</v>
      </c>
      <c r="E24" s="22">
        <v>0.484477</v>
      </c>
      <c r="F24" s="22">
        <v>0.020372</v>
      </c>
      <c r="G24" s="22">
        <v>0.038968</v>
      </c>
      <c r="H24" s="22">
        <v>0.529514</v>
      </c>
      <c r="I24" s="22">
        <v>1</v>
      </c>
      <c r="J24" s="22">
        <v>0.657012</v>
      </c>
      <c r="K24" s="22">
        <v>0.005916</v>
      </c>
      <c r="L24" s="22">
        <v>0.529514</v>
      </c>
      <c r="M24" s="22">
        <v>0.201103</v>
      </c>
      <c r="N24" s="22">
        <v>0.277035</v>
      </c>
      <c r="O24" s="22">
        <v>0.633574</v>
      </c>
      <c r="P24" s="22">
        <v>0.91594</v>
      </c>
      <c r="Q24" s="22">
        <v>0.737258</v>
      </c>
      <c r="R24" s="22">
        <v>0.608568</v>
      </c>
      <c r="S24" s="22">
        <v>0.335116</v>
      </c>
      <c r="T24" s="22">
        <v>0.937362</v>
      </c>
      <c r="U24" s="22">
        <v>0.897464</v>
      </c>
      <c r="V24" s="22">
        <v>0.892272</v>
      </c>
      <c r="W24" s="25">
        <v>0.834143</v>
      </c>
      <c r="X24" s="22">
        <v>326</v>
      </c>
      <c r="Y24" s="22">
        <v>267.5</v>
      </c>
      <c r="Z24" s="22">
        <v>0.5</v>
      </c>
      <c r="AA24" s="22">
        <v>2.168675</v>
      </c>
      <c r="AB24" s="22">
        <v>66.142424</v>
      </c>
    </row>
    <row r="25" spans="1:28">
      <c r="A25" s="27"/>
      <c r="B25" s="27"/>
      <c r="C25" s="26" t="s">
        <v>58</v>
      </c>
      <c r="D25" s="22">
        <v>1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0.779509</v>
      </c>
      <c r="S25" s="22">
        <v>0.60281</v>
      </c>
      <c r="T25" s="22">
        <v>0.975663</v>
      </c>
      <c r="U25" s="22">
        <v>0.951154</v>
      </c>
      <c r="V25" s="22">
        <v>0.937663</v>
      </c>
      <c r="W25" s="25">
        <v>0.894271</v>
      </c>
      <c r="X25" s="22" t="s">
        <v>0</v>
      </c>
      <c r="Y25" s="22" t="s">
        <v>0</v>
      </c>
      <c r="Z25" s="22">
        <v>0</v>
      </c>
      <c r="AA25" s="22">
        <v>0</v>
      </c>
      <c r="AB25" s="22" t="s">
        <v>0</v>
      </c>
    </row>
    <row r="26" spans="1:28">
      <c r="A26" s="27"/>
      <c r="B26" s="27"/>
      <c r="C26" s="26" t="s">
        <v>59</v>
      </c>
      <c r="D26" s="22">
        <v>0.033467</v>
      </c>
      <c r="E26" s="22">
        <v>0.696505</v>
      </c>
      <c r="F26" s="22">
        <v>0.968159</v>
      </c>
      <c r="G26" s="22">
        <v>0.792522</v>
      </c>
      <c r="H26" s="22">
        <v>0.583333</v>
      </c>
      <c r="I26" s="22">
        <v>1</v>
      </c>
      <c r="J26" s="22">
        <v>0.733333</v>
      </c>
      <c r="K26" s="22">
        <v>0.512332</v>
      </c>
      <c r="L26" s="22">
        <v>0.467438</v>
      </c>
      <c r="M26" s="22">
        <v>0.787264</v>
      </c>
      <c r="N26" s="22">
        <v>0.520075</v>
      </c>
      <c r="O26" s="22">
        <v>0.763329</v>
      </c>
      <c r="P26" s="22">
        <v>0.999418</v>
      </c>
      <c r="Q26" s="22">
        <v>0.859857</v>
      </c>
      <c r="R26" s="22">
        <v>0.823495</v>
      </c>
      <c r="S26" s="22">
        <v>0.639626</v>
      </c>
      <c r="T26" s="22">
        <v>0.976525</v>
      </c>
      <c r="U26" s="22">
        <v>0.949354</v>
      </c>
      <c r="V26" s="22">
        <v>0.941573</v>
      </c>
      <c r="W26" s="25">
        <v>0.891076</v>
      </c>
      <c r="X26" s="22">
        <v>432</v>
      </c>
      <c r="Y26" s="22">
        <v>0</v>
      </c>
      <c r="Z26" s="22">
        <v>0.5</v>
      </c>
      <c r="AA26" s="22">
        <v>0.192771</v>
      </c>
      <c r="AB26" s="22">
        <v>846.625</v>
      </c>
    </row>
    <row r="27" spans="1:28">
      <c r="A27" s="27"/>
      <c r="B27" s="27"/>
      <c r="C27" s="26" t="s">
        <v>60</v>
      </c>
      <c r="D27" s="22">
        <v>0.520248</v>
      </c>
      <c r="E27" s="22">
        <v>0.75567</v>
      </c>
      <c r="F27" s="22">
        <v>0.544688</v>
      </c>
      <c r="G27" s="22">
        <v>0.630777</v>
      </c>
      <c r="H27" s="22">
        <v>0.641304</v>
      </c>
      <c r="I27" s="22">
        <v>1</v>
      </c>
      <c r="J27" s="22">
        <v>0.772358</v>
      </c>
      <c r="K27" s="22">
        <v>0.411927</v>
      </c>
      <c r="L27" s="22">
        <v>0.641304</v>
      </c>
      <c r="M27" s="22">
        <v>0.209626</v>
      </c>
      <c r="N27" s="22">
        <v>0.313346</v>
      </c>
      <c r="O27" s="22">
        <v>0.798287</v>
      </c>
      <c r="P27" s="22">
        <v>0.994279</v>
      </c>
      <c r="Q27" s="22">
        <v>0.884365</v>
      </c>
      <c r="R27" s="22">
        <v>0.718166</v>
      </c>
      <c r="S27" s="22">
        <v>0.522919</v>
      </c>
      <c r="T27" s="22">
        <v>0.966745</v>
      </c>
      <c r="U27" s="22">
        <v>0.939163</v>
      </c>
      <c r="V27" s="22">
        <v>0.923529</v>
      </c>
      <c r="W27" s="25">
        <v>0.873076</v>
      </c>
      <c r="X27" s="22">
        <v>402</v>
      </c>
      <c r="Y27" s="22">
        <v>17</v>
      </c>
      <c r="Z27" s="22">
        <v>0.5</v>
      </c>
      <c r="AA27" s="22">
        <v>8</v>
      </c>
      <c r="AB27" s="22">
        <v>18.022727</v>
      </c>
    </row>
    <row r="28" spans="1:28">
      <c r="A28" s="27"/>
      <c r="B28" s="27"/>
      <c r="C28" s="26" t="s">
        <v>61</v>
      </c>
      <c r="D28" s="22">
        <v>0.693942</v>
      </c>
      <c r="E28" s="22">
        <v>0.75739</v>
      </c>
      <c r="F28" s="22">
        <v>0.306008</v>
      </c>
      <c r="G28" s="22">
        <v>0.433699</v>
      </c>
      <c r="H28" s="22">
        <v>0.5</v>
      </c>
      <c r="I28" s="22">
        <v>1</v>
      </c>
      <c r="J28" s="22">
        <v>0.666667</v>
      </c>
      <c r="K28" s="22">
        <v>0.374228</v>
      </c>
      <c r="L28" s="22">
        <v>0.5</v>
      </c>
      <c r="M28" s="22">
        <v>0.444806</v>
      </c>
      <c r="N28" s="22">
        <v>0.468643</v>
      </c>
      <c r="O28" s="22">
        <v>0.789655</v>
      </c>
      <c r="P28" s="22">
        <v>0.801047</v>
      </c>
      <c r="Q28" s="22">
        <v>0.794737</v>
      </c>
      <c r="R28" s="22">
        <v>0.800969</v>
      </c>
      <c r="S28" s="22">
        <v>0.528367</v>
      </c>
      <c r="T28" s="22">
        <v>0.967161</v>
      </c>
      <c r="U28" s="22">
        <v>0.925933</v>
      </c>
      <c r="V28" s="22">
        <v>0.934482</v>
      </c>
      <c r="W28" s="25">
        <v>0.867227</v>
      </c>
      <c r="X28" s="22">
        <v>367</v>
      </c>
      <c r="Y28" s="22">
        <v>352.5</v>
      </c>
      <c r="Z28" s="22">
        <v>0.5</v>
      </c>
      <c r="AA28" s="22">
        <v>0.168675</v>
      </c>
      <c r="AB28" s="22">
        <v>903.583333</v>
      </c>
    </row>
    <row r="29" spans="1:28">
      <c r="A29" s="27"/>
      <c r="B29" s="27"/>
      <c r="C29" s="26" t="s">
        <v>62</v>
      </c>
      <c r="D29" s="22">
        <v>0.674029</v>
      </c>
      <c r="E29" s="22">
        <v>0.767653</v>
      </c>
      <c r="F29" s="22">
        <v>0.359653</v>
      </c>
      <c r="G29" s="22">
        <v>0.488489</v>
      </c>
      <c r="H29" s="22">
        <v>0.666667</v>
      </c>
      <c r="I29" s="22">
        <v>1</v>
      </c>
      <c r="J29" s="22">
        <v>0.8</v>
      </c>
      <c r="K29" s="22">
        <v>0.420569</v>
      </c>
      <c r="L29" s="22">
        <v>0.666667</v>
      </c>
      <c r="M29" s="22">
        <v>0.316408</v>
      </c>
      <c r="N29" s="22">
        <v>0.425588</v>
      </c>
      <c r="O29" s="22">
        <v>0.803589</v>
      </c>
      <c r="P29" s="22">
        <v>0.929002</v>
      </c>
      <c r="Q29" s="22">
        <v>0.859659</v>
      </c>
      <c r="R29" s="22">
        <v>0.792827</v>
      </c>
      <c r="S29" s="22">
        <v>0.569896</v>
      </c>
      <c r="T29" s="22">
        <v>0.969749</v>
      </c>
      <c r="U29" s="22">
        <v>0.936638</v>
      </c>
      <c r="V29" s="22">
        <v>0.934984</v>
      </c>
      <c r="W29" s="25">
        <v>0.880221</v>
      </c>
      <c r="X29" s="22">
        <v>374</v>
      </c>
      <c r="Y29" s="22">
        <v>101</v>
      </c>
      <c r="Z29" s="22">
        <v>0.5</v>
      </c>
      <c r="AA29" s="22">
        <v>0.409639</v>
      </c>
      <c r="AB29" s="22">
        <v>304.919643</v>
      </c>
    </row>
    <row r="30" spans="1:28">
      <c r="A30" s="27"/>
      <c r="B30" s="27"/>
      <c r="C30" s="26" t="s">
        <v>63</v>
      </c>
      <c r="D30" s="22">
        <v>0.998829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0.796886</v>
      </c>
      <c r="S30" s="22">
        <v>0.613574</v>
      </c>
      <c r="T30" s="22">
        <v>0.975921</v>
      </c>
      <c r="U30" s="22">
        <v>0.949617</v>
      </c>
      <c r="V30" s="22">
        <v>0.938337</v>
      </c>
      <c r="W30" s="25">
        <v>0.888108</v>
      </c>
      <c r="X30" s="22" t="s">
        <v>0</v>
      </c>
      <c r="Y30" s="22" t="s">
        <v>0</v>
      </c>
      <c r="Z30" s="22">
        <v>0</v>
      </c>
      <c r="AA30" s="22">
        <v>0.048193</v>
      </c>
      <c r="AB30" s="22">
        <v>7</v>
      </c>
    </row>
    <row r="31" spans="1:28">
      <c r="A31" s="27"/>
      <c r="B31" s="27"/>
      <c r="C31" s="26" t="s">
        <v>64</v>
      </c>
      <c r="D31" s="22">
        <v>0.006693</v>
      </c>
      <c r="E31" s="22">
        <v>0.688745</v>
      </c>
      <c r="F31" s="22">
        <v>0.994527</v>
      </c>
      <c r="G31" s="22">
        <v>0.798707</v>
      </c>
      <c r="H31" s="22">
        <v>0.471429</v>
      </c>
      <c r="I31" s="22">
        <v>1</v>
      </c>
      <c r="J31" s="22">
        <v>0.569444</v>
      </c>
      <c r="K31" s="22">
        <v>0.394215</v>
      </c>
      <c r="L31" s="22">
        <v>0.433082</v>
      </c>
      <c r="M31" s="22">
        <v>0.698905</v>
      </c>
      <c r="N31" s="22">
        <v>0.334008</v>
      </c>
      <c r="O31" s="22">
        <v>0.755268</v>
      </c>
      <c r="P31" s="22">
        <v>0.999982</v>
      </c>
      <c r="Q31" s="22">
        <v>0.854523</v>
      </c>
      <c r="R31" s="22">
        <v>0.833738</v>
      </c>
      <c r="S31" s="22">
        <v>0.696663</v>
      </c>
      <c r="T31" s="22">
        <v>0.980655</v>
      </c>
      <c r="U31" s="22">
        <v>0.958254</v>
      </c>
      <c r="V31" s="22">
        <v>0.950339</v>
      </c>
      <c r="W31" s="25">
        <v>0.909283</v>
      </c>
      <c r="X31" s="22">
        <v>432</v>
      </c>
      <c r="Y31" s="22">
        <v>0</v>
      </c>
      <c r="Z31" s="22">
        <v>0.5</v>
      </c>
      <c r="AA31" s="22">
        <v>0.313253</v>
      </c>
      <c r="AB31" s="22">
        <v>323.1</v>
      </c>
    </row>
    <row r="32" spans="1:28">
      <c r="A32" s="27"/>
      <c r="B32" s="22" t="s">
        <v>65</v>
      </c>
      <c r="C32" s="26" t="s">
        <v>66</v>
      </c>
      <c r="D32" s="22">
        <v>0.975569</v>
      </c>
      <c r="E32" s="22">
        <v>0.598485</v>
      </c>
      <c r="F32" s="22">
        <v>0.019859</v>
      </c>
      <c r="G32" s="22">
        <v>0.03809</v>
      </c>
      <c r="H32" s="22">
        <v>0.621732</v>
      </c>
      <c r="I32" s="22">
        <v>1</v>
      </c>
      <c r="J32" s="22">
        <v>0.734056</v>
      </c>
      <c r="K32" s="22">
        <v>0.008825</v>
      </c>
      <c r="L32" s="22">
        <v>0.621732</v>
      </c>
      <c r="M32" s="22">
        <v>0.201145</v>
      </c>
      <c r="N32" s="22">
        <v>0.292955</v>
      </c>
      <c r="O32" s="22">
        <v>0.712084</v>
      </c>
      <c r="P32" s="22">
        <v>0.944362</v>
      </c>
      <c r="Q32" s="22">
        <v>0.799576</v>
      </c>
      <c r="R32" s="22">
        <v>0.666259</v>
      </c>
      <c r="S32" s="22">
        <v>0.433692</v>
      </c>
      <c r="T32" s="22">
        <v>0.957531</v>
      </c>
      <c r="U32" s="22">
        <v>0.929524</v>
      </c>
      <c r="V32" s="22">
        <v>0.912559</v>
      </c>
      <c r="W32" s="25">
        <v>0.865547</v>
      </c>
      <c r="X32" s="22">
        <v>331</v>
      </c>
      <c r="Y32" s="22">
        <v>85</v>
      </c>
      <c r="Z32" s="22">
        <v>0.5</v>
      </c>
      <c r="AA32" s="22">
        <v>2.120482</v>
      </c>
      <c r="AB32" s="22">
        <v>68.066558</v>
      </c>
    </row>
    <row r="33" spans="1:28">
      <c r="A33" s="27"/>
      <c r="B33" s="28"/>
      <c r="C33" s="26" t="s">
        <v>67</v>
      </c>
      <c r="D33" s="22">
        <v>0.97992</v>
      </c>
      <c r="E33" s="22">
        <v>0.54902</v>
      </c>
      <c r="F33" s="22">
        <v>0.012914</v>
      </c>
      <c r="G33" s="22">
        <v>0.025054</v>
      </c>
      <c r="H33" s="22">
        <v>0.541667</v>
      </c>
      <c r="I33" s="22">
        <v>1</v>
      </c>
      <c r="J33" s="22">
        <v>0.654545</v>
      </c>
      <c r="K33" s="22">
        <v>0.003952</v>
      </c>
      <c r="L33" s="22">
        <v>0.541667</v>
      </c>
      <c r="M33" s="22">
        <v>0.201142</v>
      </c>
      <c r="N33" s="22">
        <v>0.273513</v>
      </c>
      <c r="O33" s="22">
        <v>0.690206</v>
      </c>
      <c r="P33" s="22">
        <v>0.841291</v>
      </c>
      <c r="Q33" s="22">
        <v>0.739318</v>
      </c>
      <c r="R33" s="22">
        <v>0.660765</v>
      </c>
      <c r="S33" s="22">
        <v>0.416837</v>
      </c>
      <c r="T33" s="22">
        <v>0.949715</v>
      </c>
      <c r="U33" s="22">
        <v>0.916391</v>
      </c>
      <c r="V33" s="22">
        <v>0.912309</v>
      </c>
      <c r="W33" s="25">
        <v>0.860101</v>
      </c>
      <c r="X33" s="22">
        <v>196</v>
      </c>
      <c r="Y33" s="22">
        <v>265.5</v>
      </c>
      <c r="Z33" s="22">
        <v>0</v>
      </c>
      <c r="AA33" s="22">
        <v>2.120482</v>
      </c>
      <c r="AB33" s="22">
        <v>63.085</v>
      </c>
    </row>
    <row r="34" spans="1:28">
      <c r="A34" s="27"/>
      <c r="B34" s="22" t="s">
        <v>68</v>
      </c>
      <c r="C34" s="26" t="s">
        <v>69</v>
      </c>
      <c r="D34" s="22">
        <v>0.973394</v>
      </c>
      <c r="E34" s="22">
        <v>0.526779</v>
      </c>
      <c r="F34" s="22">
        <v>0.016898</v>
      </c>
      <c r="G34" s="22">
        <v>0.032701</v>
      </c>
      <c r="H34" s="22">
        <v>0.527728</v>
      </c>
      <c r="I34" s="22">
        <v>1</v>
      </c>
      <c r="J34" s="22">
        <v>0.63141</v>
      </c>
      <c r="K34" s="22">
        <v>0.003961</v>
      </c>
      <c r="L34" s="22">
        <v>0.527728</v>
      </c>
      <c r="M34" s="22">
        <v>0.200849</v>
      </c>
      <c r="N34" s="22">
        <v>0.264836</v>
      </c>
      <c r="O34" s="22">
        <v>0.668268</v>
      </c>
      <c r="P34" s="22">
        <v>0.851227</v>
      </c>
      <c r="Q34" s="22">
        <v>0.72929</v>
      </c>
      <c r="R34" s="22">
        <v>0.668118</v>
      </c>
      <c r="S34" s="22">
        <v>0.44793</v>
      </c>
      <c r="T34" s="22">
        <v>0.955189</v>
      </c>
      <c r="U34" s="22">
        <v>0.927181</v>
      </c>
      <c r="V34" s="22">
        <v>0.916285</v>
      </c>
      <c r="W34" s="25">
        <v>0.869437</v>
      </c>
      <c r="X34" s="22">
        <v>328</v>
      </c>
      <c r="Y34" s="22">
        <v>348</v>
      </c>
      <c r="Z34" s="22">
        <v>0.5</v>
      </c>
      <c r="AA34" s="22">
        <v>3.277108</v>
      </c>
      <c r="AB34" s="22">
        <v>43.727229</v>
      </c>
    </row>
    <row r="35" spans="1:28">
      <c r="A35" s="27"/>
      <c r="B35" s="27"/>
      <c r="C35" s="26" t="s">
        <v>70</v>
      </c>
      <c r="D35" s="22">
        <v>0.975234</v>
      </c>
      <c r="E35" s="22">
        <v>0.697215</v>
      </c>
      <c r="F35" s="22">
        <v>0.023819</v>
      </c>
      <c r="G35" s="22">
        <v>0.045759</v>
      </c>
      <c r="H35" s="22">
        <v>0.7</v>
      </c>
      <c r="I35" s="22">
        <v>1</v>
      </c>
      <c r="J35" s="22">
        <v>0.819444</v>
      </c>
      <c r="K35" s="22">
        <v>0.009864</v>
      </c>
      <c r="L35" s="22">
        <v>0.7</v>
      </c>
      <c r="M35" s="22">
        <v>0.201529</v>
      </c>
      <c r="N35" s="22">
        <v>0.311848</v>
      </c>
      <c r="O35" s="22">
        <v>0.774386</v>
      </c>
      <c r="P35" s="22">
        <v>0.903694</v>
      </c>
      <c r="Q35" s="22">
        <v>0.830625</v>
      </c>
      <c r="R35" s="22">
        <v>0.670703</v>
      </c>
      <c r="S35" s="22">
        <v>0.449214</v>
      </c>
      <c r="T35" s="22">
        <v>0.947393</v>
      </c>
      <c r="U35" s="22">
        <v>0.912465</v>
      </c>
      <c r="V35" s="22">
        <v>0.913093</v>
      </c>
      <c r="W35" s="25">
        <v>0.859735</v>
      </c>
      <c r="X35" s="22">
        <v>117</v>
      </c>
      <c r="Y35" s="22">
        <v>285.5</v>
      </c>
      <c r="Z35" s="22">
        <v>0</v>
      </c>
      <c r="AA35" s="22">
        <v>1.710843</v>
      </c>
      <c r="AB35" s="22">
        <v>76.649071</v>
      </c>
    </row>
    <row r="36" spans="1:28">
      <c r="A36" s="27"/>
      <c r="B36" s="27"/>
      <c r="C36" s="26" t="s">
        <v>71</v>
      </c>
      <c r="D36" s="22">
        <v>0.970549</v>
      </c>
      <c r="E36" s="22">
        <v>0.575123</v>
      </c>
      <c r="F36" s="22">
        <v>0.017379</v>
      </c>
      <c r="G36" s="22">
        <v>0.033476</v>
      </c>
      <c r="H36" s="22">
        <v>0.595238</v>
      </c>
      <c r="I36" s="22">
        <v>1</v>
      </c>
      <c r="J36" s="22">
        <v>0.711538</v>
      </c>
      <c r="K36" s="22">
        <v>0.004945</v>
      </c>
      <c r="L36" s="22">
        <v>0.595238</v>
      </c>
      <c r="M36" s="22">
        <v>0.201046</v>
      </c>
      <c r="N36" s="22">
        <v>0.288297</v>
      </c>
      <c r="O36" s="22">
        <v>0.696404</v>
      </c>
      <c r="P36" s="22">
        <v>0.899927</v>
      </c>
      <c r="Q36" s="22">
        <v>0.768952</v>
      </c>
      <c r="R36" s="22">
        <v>0.651094</v>
      </c>
      <c r="S36" s="22">
        <v>0.418135</v>
      </c>
      <c r="T36" s="22">
        <v>0.947477</v>
      </c>
      <c r="U36" s="22">
        <v>0.915111</v>
      </c>
      <c r="V36" s="22">
        <v>0.907866</v>
      </c>
      <c r="W36" s="25">
        <v>0.857303</v>
      </c>
      <c r="X36" s="22">
        <v>203</v>
      </c>
      <c r="Y36" s="22">
        <v>315.5</v>
      </c>
      <c r="Z36" s="22">
        <v>0</v>
      </c>
      <c r="AA36" s="22">
        <v>3.060241</v>
      </c>
      <c r="AB36" s="22">
        <v>45.70681</v>
      </c>
    </row>
    <row r="37" spans="1:28">
      <c r="A37" s="27"/>
      <c r="B37" s="28"/>
      <c r="C37" s="26" t="s">
        <v>72</v>
      </c>
      <c r="D37" s="22">
        <v>0.960843</v>
      </c>
      <c r="E37" s="22">
        <v>0.594404</v>
      </c>
      <c r="F37" s="22">
        <v>0.027318</v>
      </c>
      <c r="G37" s="22">
        <v>0.052006</v>
      </c>
      <c r="H37" s="22">
        <v>0.601293</v>
      </c>
      <c r="I37" s="22">
        <v>1</v>
      </c>
      <c r="J37" s="22">
        <v>0.725557</v>
      </c>
      <c r="K37" s="22">
        <v>0.006911</v>
      </c>
      <c r="L37" s="22">
        <v>0.601293</v>
      </c>
      <c r="M37" s="22">
        <v>0.201037</v>
      </c>
      <c r="N37" s="22">
        <v>0.292626</v>
      </c>
      <c r="O37" s="22">
        <v>0.697577</v>
      </c>
      <c r="P37" s="22">
        <v>0.896599</v>
      </c>
      <c r="Q37" s="22">
        <v>0.766563</v>
      </c>
      <c r="R37" s="22">
        <v>0.635101</v>
      </c>
      <c r="S37" s="22">
        <v>0.382797</v>
      </c>
      <c r="T37" s="22">
        <v>0.936362</v>
      </c>
      <c r="U37" s="22">
        <v>0.908251</v>
      </c>
      <c r="V37" s="22">
        <v>0.897393</v>
      </c>
      <c r="W37" s="25">
        <v>0.846793</v>
      </c>
      <c r="X37" s="22">
        <v>203</v>
      </c>
      <c r="Y37" s="22">
        <v>255.5</v>
      </c>
      <c r="Z37" s="22">
        <v>0</v>
      </c>
      <c r="AA37" s="22">
        <v>3.975904</v>
      </c>
      <c r="AB37" s="22">
        <v>36.108295</v>
      </c>
    </row>
    <row r="38" spans="1:28">
      <c r="A38" s="28"/>
      <c r="B38" s="22" t="s">
        <v>73</v>
      </c>
      <c r="C38" s="26" t="s">
        <v>74</v>
      </c>
      <c r="D38" s="22">
        <v>0.768742</v>
      </c>
      <c r="E38" s="22">
        <v>0.812689</v>
      </c>
      <c r="F38" s="22">
        <v>0.278755</v>
      </c>
      <c r="G38" s="22">
        <v>0.408679</v>
      </c>
      <c r="H38" s="22">
        <v>0.625</v>
      </c>
      <c r="I38" s="22">
        <v>1</v>
      </c>
      <c r="J38" s="22">
        <v>0.761905</v>
      </c>
      <c r="K38" s="22">
        <v>0.252117</v>
      </c>
      <c r="L38" s="22">
        <v>0.625</v>
      </c>
      <c r="M38" s="22">
        <v>0.242107</v>
      </c>
      <c r="N38" s="22">
        <v>0.340723</v>
      </c>
      <c r="O38" s="22">
        <v>0.839304</v>
      </c>
      <c r="P38" s="22">
        <v>0.922881</v>
      </c>
      <c r="Q38" s="22">
        <v>0.877533</v>
      </c>
      <c r="R38" s="22">
        <v>0.806253</v>
      </c>
      <c r="S38" s="22">
        <v>0.628228</v>
      </c>
      <c r="T38" s="22">
        <v>0.976053</v>
      </c>
      <c r="U38" s="22">
        <v>0.951286</v>
      </c>
      <c r="V38" s="22">
        <v>0.940031</v>
      </c>
      <c r="W38" s="25">
        <v>0.895597</v>
      </c>
      <c r="X38" s="22">
        <v>368</v>
      </c>
      <c r="Y38" s="22">
        <v>96.5</v>
      </c>
      <c r="Z38" s="22">
        <v>0.5</v>
      </c>
      <c r="AA38" s="22">
        <v>2.072289</v>
      </c>
      <c r="AB38" s="22">
        <v>65.106061</v>
      </c>
    </row>
    <row r="39" spans="1:28">
      <c r="C39" s="29" t="s">
        <v>0</v>
      </c>
    </row>
    <row r="41" spans="1:28">
      <c r="A41" s="22" t="s">
        <v>0</v>
      </c>
      <c r="B41" s="22" t="s">
        <v>0</v>
      </c>
      <c r="C41" s="23" t="s">
        <v>0</v>
      </c>
      <c r="D41" s="24" t="s">
        <v>7</v>
      </c>
      <c r="E41" s="22" t="s">
        <v>8</v>
      </c>
      <c r="F41" s="22" t="s">
        <v>9</v>
      </c>
      <c r="G41" s="22" t="s">
        <v>10</v>
      </c>
      <c r="H41" s="22" t="s">
        <v>11</v>
      </c>
      <c r="I41" s="22" t="s">
        <v>12</v>
      </c>
      <c r="J41" s="22" t="s">
        <v>13</v>
      </c>
      <c r="K41" s="22" t="s">
        <v>14</v>
      </c>
      <c r="L41" s="22" t="s">
        <v>15</v>
      </c>
      <c r="M41" s="22" t="s">
        <v>16</v>
      </c>
      <c r="N41" s="22" t="s">
        <v>17</v>
      </c>
      <c r="O41" s="22" t="s">
        <v>18</v>
      </c>
      <c r="P41" s="22" t="s">
        <v>19</v>
      </c>
      <c r="Q41" s="22" t="s">
        <v>20</v>
      </c>
      <c r="R41" s="22" t="s">
        <v>21</v>
      </c>
      <c r="S41" s="22" t="s">
        <v>22</v>
      </c>
      <c r="T41" s="22" t="s">
        <v>23</v>
      </c>
      <c r="U41" s="22" t="s">
        <v>24</v>
      </c>
      <c r="V41" s="22" t="s">
        <v>25</v>
      </c>
      <c r="W41" s="25" t="s">
        <v>26</v>
      </c>
      <c r="X41" s="22" t="s">
        <v>27</v>
      </c>
      <c r="Y41" s="22" t="s">
        <v>28</v>
      </c>
      <c r="Z41" s="22" t="s">
        <v>29</v>
      </c>
      <c r="AA41" s="24" t="s">
        <v>30</v>
      </c>
      <c r="AB41" s="24" t="s">
        <v>31</v>
      </c>
    </row>
    <row r="42" spans="1:28">
      <c r="A42" s="22" t="s">
        <v>115</v>
      </c>
      <c r="B42" s="22" t="s">
        <v>33</v>
      </c>
      <c r="C42" s="26" t="s">
        <v>34</v>
      </c>
      <c r="D42" s="22">
        <v>0.995624</v>
      </c>
      <c r="E42" s="22">
        <v>0.315141</v>
      </c>
      <c r="F42" s="22">
        <v>0.051816</v>
      </c>
      <c r="G42" s="22">
        <v>0.081627</v>
      </c>
      <c r="H42" s="22">
        <v>0.355263</v>
      </c>
      <c r="I42" s="22">
        <v>0.375</v>
      </c>
      <c r="J42" s="22">
        <v>0.364286</v>
      </c>
      <c r="K42" s="22">
        <v>0.025151</v>
      </c>
      <c r="L42" s="22">
        <v>0.355263</v>
      </c>
      <c r="M42" s="22">
        <v>0.076389</v>
      </c>
      <c r="N42" s="22">
        <v>0.125652</v>
      </c>
      <c r="O42" s="22">
        <v>0.3177</v>
      </c>
      <c r="P42" s="22">
        <v>0.319906</v>
      </c>
      <c r="Q42" s="22">
        <v>0.310591</v>
      </c>
      <c r="R42" s="22">
        <v>0.735774</v>
      </c>
      <c r="S42" s="22">
        <v>0.539482</v>
      </c>
      <c r="T42" s="22">
        <v>0.898102</v>
      </c>
      <c r="U42" s="22">
        <v>0.85788</v>
      </c>
      <c r="V42" s="22">
        <v>0.883844</v>
      </c>
      <c r="W42" s="25">
        <v>0.83592</v>
      </c>
      <c r="X42" s="22">
        <v>132</v>
      </c>
      <c r="Y42" s="22">
        <v>251.75</v>
      </c>
      <c r="Z42" s="22">
        <v>0</v>
      </c>
      <c r="AA42" s="22">
        <v>0.065131</v>
      </c>
      <c r="AB42" s="22">
        <v>758</v>
      </c>
    </row>
    <row r="43" spans="1:28">
      <c r="A43" s="27"/>
      <c r="B43" s="27"/>
      <c r="C43" s="26" t="s">
        <v>35</v>
      </c>
      <c r="D43" s="22">
        <v>0.578288</v>
      </c>
      <c r="E43" s="22">
        <v>0.598327</v>
      </c>
      <c r="F43" s="22">
        <v>0.236204</v>
      </c>
      <c r="G43" s="22">
        <v>0.317142</v>
      </c>
      <c r="H43" s="22">
        <v>0.62293</v>
      </c>
      <c r="I43" s="22">
        <v>1</v>
      </c>
      <c r="J43" s="22">
        <v>0.739697</v>
      </c>
      <c r="K43" s="22">
        <v>0.135248</v>
      </c>
      <c r="L43" s="22">
        <v>0.614042</v>
      </c>
      <c r="M43" s="22">
        <v>0.215252</v>
      </c>
      <c r="N43" s="22">
        <v>0.302911</v>
      </c>
      <c r="O43" s="22">
        <v>0.708224</v>
      </c>
      <c r="P43" s="22">
        <v>0.889381</v>
      </c>
      <c r="Q43" s="22">
        <v>0.779462</v>
      </c>
      <c r="R43" s="22">
        <v>0.665485</v>
      </c>
      <c r="S43" s="22">
        <v>0.382088</v>
      </c>
      <c r="T43" s="22">
        <v>0.873897</v>
      </c>
      <c r="U43" s="22">
        <v>0.831689</v>
      </c>
      <c r="V43" s="22">
        <v>0.857892</v>
      </c>
      <c r="W43" s="25">
        <v>0.803592</v>
      </c>
      <c r="X43" s="22">
        <v>248.667</v>
      </c>
      <c r="Y43" s="22">
        <v>20.25</v>
      </c>
      <c r="Z43" s="22">
        <v>0.375</v>
      </c>
      <c r="AA43" s="22">
        <v>4.665126</v>
      </c>
      <c r="AB43" s="22">
        <v>37.159565</v>
      </c>
    </row>
    <row r="44" spans="1:28">
      <c r="A44" s="27"/>
      <c r="B44" s="28"/>
      <c r="C44" s="26" t="s">
        <v>36</v>
      </c>
      <c r="D44" s="22">
        <v>0.229316</v>
      </c>
      <c r="E44" s="22">
        <v>0.737157</v>
      </c>
      <c r="F44" s="22">
        <v>0.840427</v>
      </c>
      <c r="G44" s="22">
        <v>0.765476</v>
      </c>
      <c r="H44" s="22">
        <v>0.656987</v>
      </c>
      <c r="I44" s="22">
        <v>1</v>
      </c>
      <c r="J44" s="22">
        <v>0.76729</v>
      </c>
      <c r="K44" s="22">
        <v>0.295907</v>
      </c>
      <c r="L44" s="22">
        <v>0.640412</v>
      </c>
      <c r="M44" s="22">
        <v>0.233076</v>
      </c>
      <c r="N44" s="22">
        <v>0.321682</v>
      </c>
      <c r="O44" s="22">
        <v>0.803562</v>
      </c>
      <c r="P44" s="22">
        <v>0.999486</v>
      </c>
      <c r="Q44" s="22">
        <v>0.885553</v>
      </c>
      <c r="R44" s="22">
        <v>0.736037</v>
      </c>
      <c r="S44" s="22">
        <v>0.56125</v>
      </c>
      <c r="T44" s="22">
        <v>0.916084</v>
      </c>
      <c r="U44" s="22">
        <v>0.888348</v>
      </c>
      <c r="V44" s="22">
        <v>0.898541</v>
      </c>
      <c r="W44" s="25">
        <v>0.865672</v>
      </c>
      <c r="X44" s="22">
        <v>263.667</v>
      </c>
      <c r="Y44" s="22">
        <v>8.75</v>
      </c>
      <c r="Z44" s="22">
        <v>0.375</v>
      </c>
      <c r="AA44" s="22">
        <v>7.706741</v>
      </c>
      <c r="AB44" s="22">
        <v>19.596979</v>
      </c>
    </row>
    <row r="45" spans="1:28">
      <c r="A45" s="27"/>
      <c r="B45" s="22" t="s">
        <v>37</v>
      </c>
      <c r="C45" s="26" t="s">
        <v>38</v>
      </c>
      <c r="D45" s="22">
        <v>0.996126</v>
      </c>
      <c r="E45" s="22">
        <v>0.311975</v>
      </c>
      <c r="F45" s="22">
        <v>0.028245</v>
      </c>
      <c r="G45" s="22">
        <v>0.049095</v>
      </c>
      <c r="H45" s="22">
        <v>0.34375</v>
      </c>
      <c r="I45" s="22">
        <v>0.375</v>
      </c>
      <c r="J45" s="22">
        <v>0.357143</v>
      </c>
      <c r="K45" s="22">
        <v>0.017772</v>
      </c>
      <c r="L45" s="22">
        <v>0.34375</v>
      </c>
      <c r="M45" s="22">
        <v>0.076124</v>
      </c>
      <c r="N45" s="22">
        <v>0.124351</v>
      </c>
      <c r="O45" s="22">
        <v>0.314666</v>
      </c>
      <c r="P45" s="22">
        <v>0.300323</v>
      </c>
      <c r="Q45" s="22">
        <v>0.296483</v>
      </c>
      <c r="R45" s="22">
        <v>0.709373</v>
      </c>
      <c r="S45" s="22">
        <v>0.518657</v>
      </c>
      <c r="T45" s="22">
        <v>0.874919</v>
      </c>
      <c r="U45" s="22">
        <v>0.857301</v>
      </c>
      <c r="V45" s="22">
        <v>0.862494</v>
      </c>
      <c r="W45" s="25">
        <v>0.82765</v>
      </c>
      <c r="X45" s="22">
        <v>132</v>
      </c>
      <c r="Y45" s="22">
        <v>383.5</v>
      </c>
      <c r="Z45" s="22">
        <v>0</v>
      </c>
      <c r="AA45" s="22">
        <v>0.063762</v>
      </c>
      <c r="AB45" s="22">
        <v>263.083333</v>
      </c>
    </row>
    <row r="46" spans="1:28">
      <c r="A46" s="27"/>
      <c r="B46" s="27"/>
      <c r="C46" s="26" t="s">
        <v>39</v>
      </c>
      <c r="D46" s="22">
        <v>0.972868</v>
      </c>
      <c r="E46" s="22">
        <v>0.35182</v>
      </c>
      <c r="F46" s="22">
        <v>0.044454</v>
      </c>
      <c r="G46" s="22">
        <v>0.072123</v>
      </c>
      <c r="H46" s="22">
        <v>0.425883</v>
      </c>
      <c r="I46" s="22">
        <v>0.5</v>
      </c>
      <c r="J46" s="22">
        <v>0.459935</v>
      </c>
      <c r="K46" s="22">
        <v>0.023445</v>
      </c>
      <c r="L46" s="22">
        <v>0.425883</v>
      </c>
      <c r="M46" s="22">
        <v>0.101566</v>
      </c>
      <c r="N46" s="22">
        <v>0.164015</v>
      </c>
      <c r="O46" s="22">
        <v>0.368461</v>
      </c>
      <c r="P46" s="22">
        <v>0.418156</v>
      </c>
      <c r="Q46" s="22">
        <v>0.382694</v>
      </c>
      <c r="R46" s="22">
        <v>0.669937</v>
      </c>
      <c r="S46" s="22">
        <v>0.425851</v>
      </c>
      <c r="T46" s="22">
        <v>0.831325</v>
      </c>
      <c r="U46" s="22">
        <v>0.7997</v>
      </c>
      <c r="V46" s="22">
        <v>0.830182</v>
      </c>
      <c r="W46" s="25">
        <v>0.783892</v>
      </c>
      <c r="X46" s="22">
        <v>132</v>
      </c>
      <c r="Y46" s="22">
        <v>86.75</v>
      </c>
      <c r="Z46" s="22">
        <v>0</v>
      </c>
      <c r="AA46" s="22">
        <v>0.738195</v>
      </c>
      <c r="AB46" s="22">
        <v>28.084756</v>
      </c>
    </row>
    <row r="47" spans="1:28">
      <c r="A47" s="27"/>
      <c r="B47" s="27"/>
      <c r="C47" s="26" t="s">
        <v>40</v>
      </c>
      <c r="D47" s="22">
        <v>0.987575</v>
      </c>
      <c r="E47" s="22">
        <v>0.305258</v>
      </c>
      <c r="F47" s="22">
        <v>0.018465</v>
      </c>
      <c r="G47" s="22">
        <v>0.034429</v>
      </c>
      <c r="H47" s="22">
        <v>0.2875</v>
      </c>
      <c r="I47" s="22">
        <v>0.375</v>
      </c>
      <c r="J47" s="22">
        <v>0.319444</v>
      </c>
      <c r="K47" s="22">
        <v>0.021033</v>
      </c>
      <c r="L47" s="22">
        <v>0.2875</v>
      </c>
      <c r="M47" s="22">
        <v>0.082935</v>
      </c>
      <c r="N47" s="22">
        <v>0.125626</v>
      </c>
      <c r="O47" s="22">
        <v>0.324212</v>
      </c>
      <c r="P47" s="22">
        <v>0.281233</v>
      </c>
      <c r="Q47" s="22">
        <v>0.299372</v>
      </c>
      <c r="R47" s="22">
        <v>0.661429</v>
      </c>
      <c r="S47" s="22">
        <v>0.370782</v>
      </c>
      <c r="T47" s="22">
        <v>0.876652</v>
      </c>
      <c r="U47" s="22">
        <v>0.822166</v>
      </c>
      <c r="V47" s="22">
        <v>0.853147</v>
      </c>
      <c r="W47" s="25">
        <v>0.787213</v>
      </c>
      <c r="X47" s="22">
        <v>156</v>
      </c>
      <c r="Y47" s="22">
        <v>583</v>
      </c>
      <c r="Z47" s="22">
        <v>0</v>
      </c>
      <c r="AA47" s="22">
        <v>0.034142</v>
      </c>
      <c r="AB47" s="22">
        <v>705</v>
      </c>
    </row>
    <row r="48" spans="1:28">
      <c r="A48" s="27"/>
      <c r="B48" s="27"/>
      <c r="C48" s="26" t="s">
        <v>41</v>
      </c>
      <c r="D48" s="22">
        <v>0.156005</v>
      </c>
      <c r="E48" s="22">
        <v>0.605502</v>
      </c>
      <c r="F48" s="22">
        <v>0.551304</v>
      </c>
      <c r="G48" s="22">
        <v>0.555027</v>
      </c>
      <c r="H48" s="22">
        <v>0.655096</v>
      </c>
      <c r="I48" s="22">
        <v>1</v>
      </c>
      <c r="J48" s="22">
        <v>0.762578</v>
      </c>
      <c r="K48" s="22">
        <v>0.242533</v>
      </c>
      <c r="L48" s="22">
        <v>0.63171</v>
      </c>
      <c r="M48" s="22">
        <v>0.244484</v>
      </c>
      <c r="N48" s="22">
        <v>0.317913</v>
      </c>
      <c r="O48" s="22">
        <v>0.697384</v>
      </c>
      <c r="P48" s="22">
        <v>0.97168</v>
      </c>
      <c r="Q48" s="22">
        <v>0.796257</v>
      </c>
      <c r="R48" s="22">
        <v>0.68162</v>
      </c>
      <c r="S48" s="22">
        <v>0.405033</v>
      </c>
      <c r="T48" s="22">
        <v>0.884568</v>
      </c>
      <c r="U48" s="22">
        <v>0.833264</v>
      </c>
      <c r="V48" s="22">
        <v>0.868939</v>
      </c>
      <c r="W48" s="25">
        <v>0.808192</v>
      </c>
      <c r="X48" s="22">
        <v>264</v>
      </c>
      <c r="Y48" s="22">
        <v>0</v>
      </c>
      <c r="Z48" s="22">
        <v>0.375</v>
      </c>
      <c r="AA48" s="22">
        <v>4.500556</v>
      </c>
      <c r="AB48" s="22">
        <v>59.80993</v>
      </c>
    </row>
    <row r="49" spans="1:28">
      <c r="A49" s="27"/>
      <c r="B49" s="27"/>
      <c r="C49" s="26" t="s">
        <v>42</v>
      </c>
      <c r="D49" s="22">
        <v>0.988397</v>
      </c>
      <c r="E49" s="22">
        <v>0.592379</v>
      </c>
      <c r="F49" s="22">
        <v>0.005305</v>
      </c>
      <c r="G49" s="22">
        <v>0.010476</v>
      </c>
      <c r="H49" s="22">
        <v>0.576458</v>
      </c>
      <c r="I49" s="22">
        <v>0.875</v>
      </c>
      <c r="J49" s="22">
        <v>0.665358</v>
      </c>
      <c r="K49" s="22">
        <v>0.004602</v>
      </c>
      <c r="L49" s="22">
        <v>0.576458</v>
      </c>
      <c r="M49" s="22">
        <v>0.176035</v>
      </c>
      <c r="N49" s="22">
        <v>0.259765</v>
      </c>
      <c r="O49" s="22">
        <v>0.672528</v>
      </c>
      <c r="P49" s="22">
        <v>0.813313</v>
      </c>
      <c r="Q49" s="22">
        <v>0.722152</v>
      </c>
      <c r="R49" s="22">
        <v>0.733598</v>
      </c>
      <c r="S49" s="22">
        <v>0.55087</v>
      </c>
      <c r="T49" s="22">
        <v>0.865468</v>
      </c>
      <c r="U49" s="22">
        <v>0.857097</v>
      </c>
      <c r="V49" s="22">
        <v>0.856531</v>
      </c>
      <c r="W49" s="25">
        <v>0.845379</v>
      </c>
      <c r="X49" s="22">
        <v>193.667</v>
      </c>
      <c r="Y49" s="22">
        <v>211.625</v>
      </c>
      <c r="Z49" s="22">
        <v>0.25</v>
      </c>
      <c r="AA49" s="22">
        <v>0.790716</v>
      </c>
      <c r="AB49" s="22">
        <v>119.286142</v>
      </c>
    </row>
    <row r="50" spans="1:28">
      <c r="A50" s="27"/>
      <c r="B50" s="27"/>
      <c r="C50" s="26" t="s">
        <v>43</v>
      </c>
      <c r="D50" s="22">
        <v>0.948025</v>
      </c>
      <c r="E50" s="22">
        <v>0.547316</v>
      </c>
      <c r="F50" s="22">
        <v>0.036096</v>
      </c>
      <c r="G50" s="22">
        <v>0.067424</v>
      </c>
      <c r="H50" s="22">
        <v>0.564484</v>
      </c>
      <c r="I50" s="22">
        <v>0.625</v>
      </c>
      <c r="J50" s="22">
        <v>0.590539</v>
      </c>
      <c r="K50" s="22">
        <v>0.023049</v>
      </c>
      <c r="L50" s="22">
        <v>0.564484</v>
      </c>
      <c r="M50" s="22">
        <v>0.126639</v>
      </c>
      <c r="N50" s="22">
        <v>0.206329</v>
      </c>
      <c r="O50" s="22">
        <v>0.567602</v>
      </c>
      <c r="P50" s="22">
        <v>0.50462</v>
      </c>
      <c r="Q50" s="22">
        <v>0.530896</v>
      </c>
      <c r="R50" s="22">
        <v>0.777681</v>
      </c>
      <c r="S50" s="22">
        <v>0.614065</v>
      </c>
      <c r="T50" s="22">
        <v>0.938036</v>
      </c>
      <c r="U50" s="22">
        <v>0.913651</v>
      </c>
      <c r="V50" s="22">
        <v>0.917191</v>
      </c>
      <c r="W50" s="25">
        <v>0.885171</v>
      </c>
      <c r="X50" s="22">
        <v>146</v>
      </c>
      <c r="Y50" s="22">
        <v>725.333</v>
      </c>
      <c r="Z50" s="22">
        <v>0</v>
      </c>
      <c r="AA50" s="22">
        <v>1.308845</v>
      </c>
      <c r="AB50" s="22">
        <v>127.342273</v>
      </c>
    </row>
    <row r="51" spans="1:28">
      <c r="A51" s="27"/>
      <c r="B51" s="27"/>
      <c r="C51" s="29" t="s">
        <v>44</v>
      </c>
      <c r="D51" s="22">
        <v>0.988615</v>
      </c>
      <c r="E51" s="22">
        <v>0.776877</v>
      </c>
      <c r="F51" s="22">
        <v>0.010211</v>
      </c>
      <c r="G51" s="22">
        <v>0.020139</v>
      </c>
      <c r="H51" s="22">
        <v>0.781069</v>
      </c>
      <c r="I51" s="22">
        <v>1</v>
      </c>
      <c r="J51" s="22">
        <v>0.869424</v>
      </c>
      <c r="K51" s="22">
        <v>0.003375</v>
      </c>
      <c r="L51" s="22">
        <v>0.781069</v>
      </c>
      <c r="M51" s="22">
        <v>0.201241</v>
      </c>
      <c r="N51" s="22">
        <v>0.317977</v>
      </c>
      <c r="O51" s="22">
        <v>0.81703</v>
      </c>
      <c r="P51" s="22">
        <v>0.867802</v>
      </c>
      <c r="Q51" s="22">
        <v>0.834914</v>
      </c>
      <c r="R51" s="22">
        <v>0.650315</v>
      </c>
      <c r="S51" s="22">
        <v>0.402612</v>
      </c>
      <c r="T51" s="22">
        <v>0.850905</v>
      </c>
      <c r="U51" s="22">
        <v>0.817654</v>
      </c>
      <c r="V51" s="22">
        <v>0.842448</v>
      </c>
      <c r="W51" s="25">
        <v>0.794427</v>
      </c>
      <c r="X51" s="22">
        <v>253.75</v>
      </c>
      <c r="Y51" s="22">
        <v>62.75</v>
      </c>
      <c r="Z51" s="22">
        <v>0.25</v>
      </c>
      <c r="AA51" s="22">
        <v>1.379058</v>
      </c>
      <c r="AB51" s="22">
        <v>122.404434</v>
      </c>
    </row>
    <row r="52" spans="1:28">
      <c r="A52" s="27"/>
      <c r="B52" s="28"/>
      <c r="C52" s="26" t="s">
        <v>45</v>
      </c>
      <c r="D52" s="22">
        <v>0.493442</v>
      </c>
      <c r="E52" s="22">
        <v>0.665999</v>
      </c>
      <c r="F52" s="22">
        <v>0.365577</v>
      </c>
      <c r="G52" s="22">
        <v>0.445797</v>
      </c>
      <c r="H52" s="22">
        <v>0.713128</v>
      </c>
      <c r="I52" s="22">
        <v>1</v>
      </c>
      <c r="J52" s="22">
        <v>0.82059</v>
      </c>
      <c r="K52" s="22">
        <v>0.158743</v>
      </c>
      <c r="L52" s="22">
        <v>0.692523</v>
      </c>
      <c r="M52" s="22">
        <v>0.214462</v>
      </c>
      <c r="N52" s="22">
        <v>0.320466</v>
      </c>
      <c r="O52" s="22">
        <v>0.742205</v>
      </c>
      <c r="P52" s="22">
        <v>0.940607</v>
      </c>
      <c r="Q52" s="22">
        <v>0.818675</v>
      </c>
      <c r="R52" s="22">
        <v>0.703438</v>
      </c>
      <c r="S52" s="22">
        <v>0.479146</v>
      </c>
      <c r="T52" s="22">
        <v>0.889115</v>
      </c>
      <c r="U52" s="22">
        <v>0.852168</v>
      </c>
      <c r="V52" s="22">
        <v>0.874496</v>
      </c>
      <c r="W52" s="25">
        <v>0.83187</v>
      </c>
      <c r="X52" s="22">
        <v>213.667</v>
      </c>
      <c r="Y52" s="22">
        <v>21.125</v>
      </c>
      <c r="Z52" s="22">
        <v>0.375</v>
      </c>
      <c r="AA52" s="22">
        <v>3.300815</v>
      </c>
      <c r="AB52" s="22">
        <v>41.606946</v>
      </c>
    </row>
    <row r="53" spans="1:28">
      <c r="A53" s="27"/>
      <c r="B53" s="30" t="s">
        <v>46</v>
      </c>
      <c r="C53" s="26" t="s">
        <v>47</v>
      </c>
      <c r="D53" s="22">
        <v>0.565726</v>
      </c>
      <c r="E53" s="22">
        <v>0.592942</v>
      </c>
      <c r="F53" s="22">
        <v>0.338045</v>
      </c>
      <c r="G53" s="22">
        <v>0.411702</v>
      </c>
      <c r="H53" s="22">
        <v>0.708085</v>
      </c>
      <c r="I53" s="22">
        <v>1</v>
      </c>
      <c r="J53" s="22">
        <v>0.810249</v>
      </c>
      <c r="K53" s="22">
        <v>0.087916</v>
      </c>
      <c r="L53" s="22">
        <v>0.702384</v>
      </c>
      <c r="M53" s="22">
        <v>0.205897</v>
      </c>
      <c r="N53" s="22">
        <v>0.311798</v>
      </c>
      <c r="O53" s="22">
        <v>0.684064</v>
      </c>
      <c r="P53" s="22">
        <v>0.983752</v>
      </c>
      <c r="Q53" s="22">
        <v>0.790091</v>
      </c>
      <c r="R53" s="22">
        <v>0.640755</v>
      </c>
      <c r="S53" s="22">
        <v>0.39554</v>
      </c>
      <c r="T53" s="22">
        <v>0.881625</v>
      </c>
      <c r="U53" s="22">
        <v>0.826656</v>
      </c>
      <c r="V53" s="22">
        <v>0.868444</v>
      </c>
      <c r="W53" s="25">
        <v>0.801619</v>
      </c>
      <c r="X53" s="22">
        <v>260.833</v>
      </c>
      <c r="Y53" s="22">
        <v>17.625</v>
      </c>
      <c r="Z53" s="22">
        <v>0.375</v>
      </c>
      <c r="AA53" s="22">
        <v>13.901088</v>
      </c>
      <c r="AB53" s="22">
        <v>11.372218</v>
      </c>
    </row>
    <row r="54" spans="1:28">
      <c r="A54" s="27"/>
      <c r="B54" s="27"/>
      <c r="C54" s="26" t="s">
        <v>48</v>
      </c>
      <c r="D54" s="22">
        <v>0.991302</v>
      </c>
      <c r="E54" s="22">
        <v>0.882664</v>
      </c>
      <c r="F54" s="22">
        <v>0.010296</v>
      </c>
      <c r="G54" s="22">
        <v>0.020336</v>
      </c>
      <c r="H54" s="22">
        <v>0.882528</v>
      </c>
      <c r="I54" s="22">
        <v>1</v>
      </c>
      <c r="J54" s="22">
        <v>0.929263</v>
      </c>
      <c r="K54" s="22">
        <v>0.003698</v>
      </c>
      <c r="L54" s="22">
        <v>0.882528</v>
      </c>
      <c r="M54" s="22">
        <v>0.201255</v>
      </c>
      <c r="N54" s="22">
        <v>0.325617</v>
      </c>
      <c r="O54" s="22">
        <v>0.92685</v>
      </c>
      <c r="P54" s="22">
        <v>0.874671</v>
      </c>
      <c r="Q54" s="22">
        <v>0.898569</v>
      </c>
      <c r="R54" s="22">
        <v>0.674463</v>
      </c>
      <c r="S54" s="22">
        <v>0.464495</v>
      </c>
      <c r="T54" s="22">
        <v>0.864811</v>
      </c>
      <c r="U54" s="22">
        <v>0.834584</v>
      </c>
      <c r="V54" s="22">
        <v>0.851971</v>
      </c>
      <c r="W54" s="25">
        <v>0.810317</v>
      </c>
      <c r="X54" s="22">
        <v>252.25</v>
      </c>
      <c r="Y54" s="22">
        <v>71</v>
      </c>
      <c r="Z54" s="22">
        <v>0.25</v>
      </c>
      <c r="AA54" s="22">
        <v>1.11351</v>
      </c>
      <c r="AB54" s="22">
        <v>121.14144</v>
      </c>
    </row>
    <row r="55" spans="1:28">
      <c r="A55" s="27"/>
      <c r="B55" s="27"/>
      <c r="C55" s="26" t="s">
        <v>49</v>
      </c>
      <c r="D55" s="22">
        <v>0.207569</v>
      </c>
      <c r="E55" s="22">
        <v>0.581187</v>
      </c>
      <c r="F55" s="22">
        <v>0.495892</v>
      </c>
      <c r="G55" s="22">
        <v>0.507961</v>
      </c>
      <c r="H55" s="22">
        <v>0.611785</v>
      </c>
      <c r="I55" s="22">
        <v>1</v>
      </c>
      <c r="J55" s="22">
        <v>0.717693</v>
      </c>
      <c r="K55" s="22">
        <v>0.220292</v>
      </c>
      <c r="L55" s="22">
        <v>0.579237</v>
      </c>
      <c r="M55" s="22">
        <v>0.247818</v>
      </c>
      <c r="N55" s="22">
        <v>0.303463</v>
      </c>
      <c r="O55" s="22">
        <v>0.675715</v>
      </c>
      <c r="P55" s="22">
        <v>0.944926</v>
      </c>
      <c r="Q55" s="22">
        <v>0.774304</v>
      </c>
      <c r="R55" s="22">
        <v>0.661512</v>
      </c>
      <c r="S55" s="22">
        <v>0.399189</v>
      </c>
      <c r="T55" s="22">
        <v>0.866963</v>
      </c>
      <c r="U55" s="22">
        <v>0.823058</v>
      </c>
      <c r="V55" s="22">
        <v>0.853431</v>
      </c>
      <c r="W55" s="25">
        <v>0.801227</v>
      </c>
      <c r="X55" s="22">
        <v>263.667</v>
      </c>
      <c r="Y55" s="22">
        <v>0</v>
      </c>
      <c r="Z55" s="22">
        <v>0.375</v>
      </c>
      <c r="AA55" s="22">
        <v>4.974999</v>
      </c>
      <c r="AB55" s="22">
        <v>42.407089</v>
      </c>
    </row>
    <row r="56" spans="1:28">
      <c r="A56" s="27"/>
      <c r="B56" s="27"/>
      <c r="C56" s="26" t="s">
        <v>50</v>
      </c>
      <c r="D56" s="22">
        <v>0.871155</v>
      </c>
      <c r="E56" s="22">
        <v>0.548269</v>
      </c>
      <c r="F56" s="22">
        <v>0.063304</v>
      </c>
      <c r="G56" s="22">
        <v>0.112465</v>
      </c>
      <c r="H56" s="22">
        <v>0.596942</v>
      </c>
      <c r="I56" s="22">
        <v>1</v>
      </c>
      <c r="J56" s="22">
        <v>0.715498</v>
      </c>
      <c r="K56" s="22">
        <v>0.022043</v>
      </c>
      <c r="L56" s="22">
        <v>0.596942</v>
      </c>
      <c r="M56" s="22">
        <v>0.201985</v>
      </c>
      <c r="N56" s="22">
        <v>0.290292</v>
      </c>
      <c r="O56" s="22">
        <v>0.659632</v>
      </c>
      <c r="P56" s="22">
        <v>0.967059</v>
      </c>
      <c r="Q56" s="22">
        <v>0.763027</v>
      </c>
      <c r="R56" s="22">
        <v>0.644137</v>
      </c>
      <c r="S56" s="22">
        <v>0.375043</v>
      </c>
      <c r="T56" s="22">
        <v>0.853112</v>
      </c>
      <c r="U56" s="22">
        <v>0.825445</v>
      </c>
      <c r="V56" s="22">
        <v>0.840658</v>
      </c>
      <c r="W56" s="25">
        <v>0.796413</v>
      </c>
      <c r="X56" s="22">
        <v>210.833</v>
      </c>
      <c r="Y56" s="22">
        <v>42</v>
      </c>
      <c r="Z56" s="22">
        <v>0.25</v>
      </c>
      <c r="AA56" s="22">
        <v>4.000495</v>
      </c>
      <c r="AB56" s="22">
        <v>38.011018</v>
      </c>
    </row>
    <row r="57" spans="1:28">
      <c r="A57" s="27"/>
      <c r="B57" s="27"/>
      <c r="C57" s="26" t="s">
        <v>51</v>
      </c>
      <c r="D57" s="22">
        <v>0.988618</v>
      </c>
      <c r="E57" s="22">
        <v>0.967361</v>
      </c>
      <c r="F57" s="22">
        <v>0.014543</v>
      </c>
      <c r="G57" s="22">
        <v>0.028539</v>
      </c>
      <c r="H57" s="22">
        <v>0.96394</v>
      </c>
      <c r="I57" s="22">
        <v>1</v>
      </c>
      <c r="J57" s="22">
        <v>0.981055</v>
      </c>
      <c r="K57" s="22">
        <v>0.010859</v>
      </c>
      <c r="L57" s="22">
        <v>0.96394</v>
      </c>
      <c r="M57" s="22">
        <v>0.202562</v>
      </c>
      <c r="N57" s="22">
        <v>0.33468</v>
      </c>
      <c r="O57" s="22">
        <v>0.969882</v>
      </c>
      <c r="P57" s="22">
        <v>0.803639</v>
      </c>
      <c r="Q57" s="22">
        <v>0.871645</v>
      </c>
      <c r="R57" s="22">
        <v>0.700746</v>
      </c>
      <c r="S57" s="22">
        <v>0.44121</v>
      </c>
      <c r="T57" s="22">
        <v>0.876741</v>
      </c>
      <c r="U57" s="22">
        <v>0.830065</v>
      </c>
      <c r="V57" s="22">
        <v>0.86502</v>
      </c>
      <c r="W57" s="25">
        <v>0.802531</v>
      </c>
      <c r="X57" s="22">
        <v>182</v>
      </c>
      <c r="Y57" s="22">
        <v>200</v>
      </c>
      <c r="Z57" s="22">
        <v>0</v>
      </c>
      <c r="AA57" s="22">
        <v>1.008142</v>
      </c>
      <c r="AB57" s="22">
        <v>177.126984</v>
      </c>
    </row>
    <row r="58" spans="1:28">
      <c r="A58" s="27"/>
      <c r="B58" s="27"/>
      <c r="C58" s="26" t="s">
        <v>52</v>
      </c>
      <c r="D58" s="22">
        <v>0.989787</v>
      </c>
      <c r="E58" s="22">
        <v>0.707614</v>
      </c>
      <c r="F58" s="22">
        <v>0.009734</v>
      </c>
      <c r="G58" s="22">
        <v>0.019173</v>
      </c>
      <c r="H58" s="22">
        <v>0.694105</v>
      </c>
      <c r="I58" s="22">
        <v>1</v>
      </c>
      <c r="J58" s="22">
        <v>0.799227</v>
      </c>
      <c r="K58" s="22">
        <v>0.004144</v>
      </c>
      <c r="L58" s="22">
        <v>0.694105</v>
      </c>
      <c r="M58" s="22">
        <v>0.201408</v>
      </c>
      <c r="N58" s="22">
        <v>0.305313</v>
      </c>
      <c r="O58" s="22">
        <v>0.788993</v>
      </c>
      <c r="P58" s="22">
        <v>0.957545</v>
      </c>
      <c r="Q58" s="22">
        <v>0.861583</v>
      </c>
      <c r="R58" s="22">
        <v>0.68977</v>
      </c>
      <c r="S58" s="22">
        <v>0.494752</v>
      </c>
      <c r="T58" s="22">
        <v>0.909832</v>
      </c>
      <c r="U58" s="22">
        <v>0.84073</v>
      </c>
      <c r="V58" s="22">
        <v>0.876164</v>
      </c>
      <c r="W58" s="25">
        <v>0.816465</v>
      </c>
      <c r="X58" s="22">
        <v>212.5</v>
      </c>
      <c r="Y58" s="22">
        <v>68.875</v>
      </c>
      <c r="Z58" s="22">
        <v>0.25</v>
      </c>
      <c r="AA58" s="22">
        <v>1.305975</v>
      </c>
      <c r="AB58" s="22">
        <v>105.795503</v>
      </c>
    </row>
    <row r="59" spans="1:28">
      <c r="A59" s="27"/>
      <c r="B59" s="27"/>
      <c r="C59" s="26" t="s">
        <v>53</v>
      </c>
      <c r="D59" s="30">
        <v>0.988864</v>
      </c>
      <c r="E59" s="30">
        <v>0.784289</v>
      </c>
      <c r="F59" s="30">
        <v>0.011931</v>
      </c>
      <c r="G59" s="30">
        <v>0.02325</v>
      </c>
      <c r="H59" s="30">
        <v>0.806463</v>
      </c>
      <c r="I59" s="30">
        <v>1</v>
      </c>
      <c r="J59" s="30">
        <v>0.877925</v>
      </c>
      <c r="K59" s="30">
        <v>0.01153</v>
      </c>
      <c r="L59" s="30">
        <v>0.806463</v>
      </c>
      <c r="M59" s="30">
        <v>0.202673</v>
      </c>
      <c r="N59" s="30">
        <v>0.319695</v>
      </c>
      <c r="O59" s="30">
        <v>0.835395</v>
      </c>
      <c r="P59" s="30">
        <v>0.812227</v>
      </c>
      <c r="Q59" s="30">
        <v>0.811475</v>
      </c>
      <c r="R59" s="30">
        <v>0.681787</v>
      </c>
      <c r="S59" s="30">
        <v>0.432017</v>
      </c>
      <c r="T59" s="30">
        <v>0.863689</v>
      </c>
      <c r="U59" s="30">
        <v>0.817743</v>
      </c>
      <c r="V59" s="30">
        <v>0.853165</v>
      </c>
      <c r="W59" s="31">
        <v>0.795919</v>
      </c>
      <c r="X59" s="30">
        <v>182.5</v>
      </c>
      <c r="Y59" s="30">
        <v>307.25</v>
      </c>
      <c r="Z59" s="30">
        <v>0</v>
      </c>
      <c r="AA59" s="30">
        <v>0.603126</v>
      </c>
      <c r="AB59" s="30">
        <v>348.598257</v>
      </c>
    </row>
    <row r="60" spans="1:28">
      <c r="A60" s="27"/>
      <c r="B60" s="27"/>
      <c r="C60" s="26" t="s">
        <v>54</v>
      </c>
      <c r="D60" s="22">
        <v>0.510298</v>
      </c>
      <c r="E60" s="22">
        <v>0.601853</v>
      </c>
      <c r="F60" s="22">
        <v>0.326283</v>
      </c>
      <c r="G60" s="22">
        <v>0.398996</v>
      </c>
      <c r="H60" s="22">
        <v>0.587937</v>
      </c>
      <c r="I60" s="22">
        <v>1</v>
      </c>
      <c r="J60" s="22">
        <v>0.706491</v>
      </c>
      <c r="K60" s="22">
        <v>0.165162</v>
      </c>
      <c r="L60" s="22">
        <v>0.571247</v>
      </c>
      <c r="M60" s="22">
        <v>0.213036</v>
      </c>
      <c r="N60" s="22">
        <v>0.289994</v>
      </c>
      <c r="O60" s="22">
        <v>0.691969</v>
      </c>
      <c r="P60" s="22">
        <v>0.936603</v>
      </c>
      <c r="Q60" s="22">
        <v>0.783173</v>
      </c>
      <c r="R60" s="22">
        <v>0.669185</v>
      </c>
      <c r="S60" s="22">
        <v>0.390658</v>
      </c>
      <c r="T60" s="22">
        <v>0.88294</v>
      </c>
      <c r="U60" s="22">
        <v>0.832182</v>
      </c>
      <c r="V60" s="22">
        <v>0.86581</v>
      </c>
      <c r="W60" s="22">
        <v>0.80515</v>
      </c>
      <c r="X60" s="22">
        <v>319</v>
      </c>
      <c r="Y60" s="22">
        <v>21.625</v>
      </c>
      <c r="Z60" s="22">
        <v>0.375</v>
      </c>
      <c r="AA60" s="22">
        <v>4.412121</v>
      </c>
      <c r="AB60" s="22">
        <v>35.544933</v>
      </c>
    </row>
    <row r="61" spans="1:28">
      <c r="A61" s="27"/>
      <c r="B61" s="27"/>
      <c r="C61" s="26" t="s">
        <v>55</v>
      </c>
      <c r="D61" s="32">
        <v>0.983452</v>
      </c>
      <c r="E61" s="32">
        <v>0.707041</v>
      </c>
      <c r="F61" s="32">
        <v>0.020628</v>
      </c>
      <c r="G61" s="32">
        <v>0.039596</v>
      </c>
      <c r="H61" s="32">
        <v>0.635346</v>
      </c>
      <c r="I61" s="32">
        <v>1</v>
      </c>
      <c r="J61" s="32">
        <v>0.728019</v>
      </c>
      <c r="K61" s="32">
        <v>0.014639</v>
      </c>
      <c r="L61" s="32">
        <v>0.630881</v>
      </c>
      <c r="M61" s="32">
        <v>0.20324</v>
      </c>
      <c r="N61" s="32">
        <v>0.28416</v>
      </c>
      <c r="O61" s="32">
        <v>0.767245</v>
      </c>
      <c r="P61" s="32">
        <v>0.916717</v>
      </c>
      <c r="Q61" s="32">
        <v>0.82355</v>
      </c>
      <c r="R61" s="32">
        <v>0.663565</v>
      </c>
      <c r="S61" s="32">
        <v>0.423188</v>
      </c>
      <c r="T61" s="32">
        <v>0.866388</v>
      </c>
      <c r="U61" s="32">
        <v>0.829763</v>
      </c>
      <c r="V61" s="32">
        <v>0.850962</v>
      </c>
      <c r="W61" s="33">
        <v>0.801336</v>
      </c>
      <c r="X61" s="32">
        <v>278</v>
      </c>
      <c r="Y61" s="32">
        <v>123.125</v>
      </c>
      <c r="Z61" s="32">
        <v>0.25</v>
      </c>
      <c r="AA61" s="32">
        <v>1.568551</v>
      </c>
      <c r="AB61" s="32">
        <v>114.342219</v>
      </c>
    </row>
    <row r="62" spans="1:28">
      <c r="A62" s="27"/>
      <c r="B62" s="27"/>
      <c r="C62" s="26" t="s">
        <v>56</v>
      </c>
      <c r="D62" s="22">
        <v>0.983966</v>
      </c>
      <c r="E62" s="22">
        <v>0.686861</v>
      </c>
      <c r="F62" s="22">
        <v>0.019937</v>
      </c>
      <c r="G62" s="22">
        <v>0.038159</v>
      </c>
      <c r="H62" s="22">
        <v>0.716552</v>
      </c>
      <c r="I62" s="22">
        <v>0.875</v>
      </c>
      <c r="J62" s="22">
        <v>0.784474</v>
      </c>
      <c r="K62" s="22">
        <v>0.015421</v>
      </c>
      <c r="L62" s="22">
        <v>0.716552</v>
      </c>
      <c r="M62" s="22">
        <v>0.177641</v>
      </c>
      <c r="N62" s="22">
        <v>0.283704</v>
      </c>
      <c r="O62" s="22">
        <v>0.778787</v>
      </c>
      <c r="P62" s="22">
        <v>0.808065</v>
      </c>
      <c r="Q62" s="22">
        <v>0.790533</v>
      </c>
      <c r="R62" s="22">
        <v>0.783251</v>
      </c>
      <c r="S62" s="22">
        <v>0.632171</v>
      </c>
      <c r="T62" s="22">
        <v>0.932008</v>
      </c>
      <c r="U62" s="22">
        <v>0.909243</v>
      </c>
      <c r="V62" s="22">
        <v>0.911794</v>
      </c>
      <c r="W62" s="25">
        <v>0.886621</v>
      </c>
      <c r="X62" s="22">
        <v>122.833</v>
      </c>
      <c r="Y62" s="22">
        <v>224.875</v>
      </c>
      <c r="Z62" s="22">
        <v>0</v>
      </c>
      <c r="AA62" s="22">
        <v>0.87634</v>
      </c>
      <c r="AB62" s="22">
        <v>242.49649</v>
      </c>
    </row>
    <row r="63" spans="1:28">
      <c r="A63" s="27"/>
      <c r="B63" s="27"/>
      <c r="C63" s="26" t="s">
        <v>57</v>
      </c>
      <c r="D63" s="22">
        <v>0.990555</v>
      </c>
      <c r="E63" s="22">
        <v>0.707773</v>
      </c>
      <c r="F63" s="22">
        <v>0.013124</v>
      </c>
      <c r="G63" s="22">
        <v>0.025407</v>
      </c>
      <c r="H63" s="22">
        <v>0.695416</v>
      </c>
      <c r="I63" s="22">
        <v>1</v>
      </c>
      <c r="J63" s="22">
        <v>0.793376</v>
      </c>
      <c r="K63" s="22">
        <v>0.011503</v>
      </c>
      <c r="L63" s="22">
        <v>0.695416</v>
      </c>
      <c r="M63" s="22">
        <v>0.202752</v>
      </c>
      <c r="N63" s="22">
        <v>0.304689</v>
      </c>
      <c r="O63" s="22">
        <v>0.788006</v>
      </c>
      <c r="P63" s="22">
        <v>0.840497</v>
      </c>
      <c r="Q63" s="22">
        <v>0.801639</v>
      </c>
      <c r="R63" s="22">
        <v>0.662882</v>
      </c>
      <c r="S63" s="22">
        <v>0.41439</v>
      </c>
      <c r="T63" s="22">
        <v>0.893902</v>
      </c>
      <c r="U63" s="22">
        <v>0.860833</v>
      </c>
      <c r="V63" s="22">
        <v>0.866565</v>
      </c>
      <c r="W63" s="25">
        <v>0.821598</v>
      </c>
      <c r="X63" s="22">
        <v>226.5</v>
      </c>
      <c r="Y63" s="22">
        <v>73.875</v>
      </c>
      <c r="Z63" s="22">
        <v>0</v>
      </c>
      <c r="AA63" s="22">
        <v>0.821249</v>
      </c>
      <c r="AB63" s="22">
        <v>415.994433</v>
      </c>
    </row>
    <row r="64" spans="1:28">
      <c r="A64" s="27"/>
      <c r="B64" s="27"/>
      <c r="C64" s="26" t="s">
        <v>58</v>
      </c>
      <c r="D64" s="22">
        <v>1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0.717075</v>
      </c>
      <c r="S64" s="22">
        <v>0.527466</v>
      </c>
      <c r="T64" s="22">
        <v>0.883022</v>
      </c>
      <c r="U64" s="22">
        <v>0.84149</v>
      </c>
      <c r="V64" s="22">
        <v>0.872643</v>
      </c>
      <c r="W64" s="25">
        <v>0.825353</v>
      </c>
      <c r="X64" s="22" t="s">
        <v>0</v>
      </c>
      <c r="Y64" s="22" t="s">
        <v>0</v>
      </c>
      <c r="Z64" s="22">
        <v>0</v>
      </c>
      <c r="AA64" s="22">
        <v>0</v>
      </c>
      <c r="AB64" s="22" t="s">
        <v>0</v>
      </c>
    </row>
    <row r="65" spans="1:28">
      <c r="A65" s="27"/>
      <c r="B65" s="27"/>
      <c r="C65" s="26" t="s">
        <v>59</v>
      </c>
      <c r="D65" s="22">
        <v>0.356293</v>
      </c>
      <c r="E65" s="22">
        <v>0.577592</v>
      </c>
      <c r="F65" s="22">
        <v>0.428976</v>
      </c>
      <c r="G65" s="22">
        <v>0.469768</v>
      </c>
      <c r="H65" s="22">
        <v>0.697523</v>
      </c>
      <c r="I65" s="22">
        <v>1</v>
      </c>
      <c r="J65" s="22">
        <v>0.799176</v>
      </c>
      <c r="K65" s="22">
        <v>0.256277</v>
      </c>
      <c r="L65" s="22">
        <v>0.59586</v>
      </c>
      <c r="M65" s="22">
        <v>0.28889</v>
      </c>
      <c r="N65" s="22">
        <v>0.327635</v>
      </c>
      <c r="O65" s="22">
        <v>0.664277</v>
      </c>
      <c r="P65" s="22">
        <v>0.934453</v>
      </c>
      <c r="Q65" s="22">
        <v>0.761101</v>
      </c>
      <c r="R65" s="22">
        <v>0.671707</v>
      </c>
      <c r="S65" s="22">
        <v>0.376739</v>
      </c>
      <c r="T65" s="22">
        <v>0.874643</v>
      </c>
      <c r="U65" s="22">
        <v>0.825809</v>
      </c>
      <c r="V65" s="22">
        <v>0.857756</v>
      </c>
      <c r="W65" s="25">
        <v>0.793694</v>
      </c>
      <c r="X65" s="22">
        <v>303.5</v>
      </c>
      <c r="Y65" s="22">
        <v>31.875</v>
      </c>
      <c r="Z65" s="22">
        <v>0.375</v>
      </c>
      <c r="AA65" s="22">
        <v>0.49749</v>
      </c>
      <c r="AB65" s="22">
        <v>300.061048</v>
      </c>
    </row>
    <row r="66" spans="1:28">
      <c r="A66" s="27"/>
      <c r="B66" s="27"/>
      <c r="C66" s="26" t="s">
        <v>60</v>
      </c>
      <c r="D66" s="22">
        <v>0.883452</v>
      </c>
      <c r="E66" s="22">
        <v>0.778679</v>
      </c>
      <c r="F66" s="22">
        <v>0.054213</v>
      </c>
      <c r="G66" s="22">
        <v>0.099705</v>
      </c>
      <c r="H66" s="22">
        <v>0.76482</v>
      </c>
      <c r="I66" s="22">
        <v>1</v>
      </c>
      <c r="J66" s="22">
        <v>0.855066</v>
      </c>
      <c r="K66" s="22">
        <v>0.042411</v>
      </c>
      <c r="L66" s="22">
        <v>0.76482</v>
      </c>
      <c r="M66" s="22">
        <v>0.202703</v>
      </c>
      <c r="N66" s="22">
        <v>0.317307</v>
      </c>
      <c r="O66" s="22">
        <v>0.852946</v>
      </c>
      <c r="P66" s="22">
        <v>0.905627</v>
      </c>
      <c r="Q66" s="22">
        <v>0.875949</v>
      </c>
      <c r="R66" s="22">
        <v>0.665597</v>
      </c>
      <c r="S66" s="22">
        <v>0.385359</v>
      </c>
      <c r="T66" s="22">
        <v>0.865389</v>
      </c>
      <c r="U66" s="22">
        <v>0.818405</v>
      </c>
      <c r="V66" s="22">
        <v>0.853266</v>
      </c>
      <c r="W66" s="25">
        <v>0.794948</v>
      </c>
      <c r="X66" s="22">
        <v>255</v>
      </c>
      <c r="Y66" s="22">
        <v>46.625</v>
      </c>
      <c r="Z66" s="22">
        <v>0.25</v>
      </c>
      <c r="AA66" s="22">
        <v>2.577752</v>
      </c>
      <c r="AB66" s="22">
        <v>76.285135</v>
      </c>
    </row>
    <row r="67" spans="1:28">
      <c r="A67" s="27"/>
      <c r="B67" s="27"/>
      <c r="C67" s="26" t="s">
        <v>61</v>
      </c>
      <c r="D67" s="22">
        <v>0.921834</v>
      </c>
      <c r="E67" s="22">
        <v>0.817329</v>
      </c>
      <c r="F67" s="22">
        <v>0.061394</v>
      </c>
      <c r="G67" s="22">
        <v>0.109163</v>
      </c>
      <c r="H67" s="22">
        <v>0.815476</v>
      </c>
      <c r="I67" s="22">
        <v>0.875</v>
      </c>
      <c r="J67" s="22">
        <v>0.840385</v>
      </c>
      <c r="K67" s="22">
        <v>0.072446</v>
      </c>
      <c r="L67" s="22">
        <v>0.815476</v>
      </c>
      <c r="M67" s="22">
        <v>0.19585</v>
      </c>
      <c r="N67" s="22">
        <v>0.3152</v>
      </c>
      <c r="O67" s="22">
        <v>0.825581</v>
      </c>
      <c r="P67" s="22">
        <v>0.690963</v>
      </c>
      <c r="Q67" s="22">
        <v>0.74773</v>
      </c>
      <c r="R67" s="22">
        <v>0.851723</v>
      </c>
      <c r="S67" s="22">
        <v>0.633995</v>
      </c>
      <c r="T67" s="22">
        <v>0.973135</v>
      </c>
      <c r="U67" s="22">
        <v>0.948629</v>
      </c>
      <c r="V67" s="22">
        <v>0.954501</v>
      </c>
      <c r="W67" s="25">
        <v>0.914526</v>
      </c>
      <c r="X67" s="22">
        <v>125</v>
      </c>
      <c r="Y67" s="22">
        <v>648.625</v>
      </c>
      <c r="Z67" s="22">
        <v>0</v>
      </c>
      <c r="AA67" s="22">
        <v>0.118833</v>
      </c>
      <c r="AB67" s="22">
        <v>1002.888889</v>
      </c>
    </row>
    <row r="68" spans="1:28">
      <c r="A68" s="27"/>
      <c r="B68" s="27"/>
      <c r="C68" s="26" t="s">
        <v>62</v>
      </c>
      <c r="D68" s="22">
        <v>0.881358</v>
      </c>
      <c r="E68" s="22">
        <v>0.527626</v>
      </c>
      <c r="F68" s="22">
        <v>0.058622</v>
      </c>
      <c r="G68" s="22">
        <v>0.104517</v>
      </c>
      <c r="H68" s="22">
        <v>0.552885</v>
      </c>
      <c r="I68" s="22">
        <v>0.625</v>
      </c>
      <c r="J68" s="22">
        <v>0.578333</v>
      </c>
      <c r="K68" s="22">
        <v>0.05696</v>
      </c>
      <c r="L68" s="22">
        <v>0.543715</v>
      </c>
      <c r="M68" s="22">
        <v>0.139787</v>
      </c>
      <c r="N68" s="22">
        <v>0.21935</v>
      </c>
      <c r="O68" s="22">
        <v>0.552759</v>
      </c>
      <c r="P68" s="22">
        <v>0.494531</v>
      </c>
      <c r="Q68" s="22">
        <v>0.516711</v>
      </c>
      <c r="R68" s="22">
        <v>0.829573</v>
      </c>
      <c r="S68" s="22">
        <v>0.628121</v>
      </c>
      <c r="T68" s="22">
        <v>0.963161</v>
      </c>
      <c r="U68" s="22">
        <v>0.935724</v>
      </c>
      <c r="V68" s="22">
        <v>0.948512</v>
      </c>
      <c r="W68" s="25">
        <v>0.908837</v>
      </c>
      <c r="X68" s="22">
        <v>137</v>
      </c>
      <c r="Y68" s="22">
        <v>275.333</v>
      </c>
      <c r="Z68" s="22">
        <v>0</v>
      </c>
      <c r="AA68" s="22">
        <v>0.295919</v>
      </c>
      <c r="AB68" s="22">
        <v>548.470238</v>
      </c>
    </row>
    <row r="69" spans="1:28">
      <c r="A69" s="27"/>
      <c r="B69" s="27"/>
      <c r="C69" s="26" t="s">
        <v>63</v>
      </c>
      <c r="D69" s="22">
        <v>0.99726</v>
      </c>
      <c r="E69" s="22">
        <v>0.25</v>
      </c>
      <c r="F69" s="22">
        <v>0.009647</v>
      </c>
      <c r="G69" s="22">
        <v>0.01814</v>
      </c>
      <c r="H69" s="22">
        <v>0.25</v>
      </c>
      <c r="I69" s="22">
        <v>0.25</v>
      </c>
      <c r="J69" s="22">
        <v>0.25</v>
      </c>
      <c r="K69" s="22">
        <v>0.010538</v>
      </c>
      <c r="L69" s="22">
        <v>0.25</v>
      </c>
      <c r="M69" s="22">
        <v>0.054224</v>
      </c>
      <c r="N69" s="22">
        <v>0.089085</v>
      </c>
      <c r="O69" s="22">
        <v>0.25</v>
      </c>
      <c r="P69" s="22">
        <v>0.150201</v>
      </c>
      <c r="Q69" s="22">
        <v>0.187651</v>
      </c>
      <c r="R69" s="22">
        <v>0.733809</v>
      </c>
      <c r="S69" s="22">
        <v>0.505177</v>
      </c>
      <c r="T69" s="22">
        <v>0.885736</v>
      </c>
      <c r="U69" s="22">
        <v>0.842426</v>
      </c>
      <c r="V69" s="22">
        <v>0.879384</v>
      </c>
      <c r="W69" s="25">
        <v>0.825765</v>
      </c>
      <c r="X69" s="22" t="s">
        <v>0</v>
      </c>
      <c r="Y69" s="22">
        <v>4062</v>
      </c>
      <c r="Z69" s="22">
        <v>0</v>
      </c>
      <c r="AA69" s="22">
        <v>0.00607</v>
      </c>
      <c r="AB69" s="22" t="s">
        <v>0</v>
      </c>
    </row>
    <row r="70" spans="1:28">
      <c r="A70" s="27"/>
      <c r="B70" s="27"/>
      <c r="C70" s="26" t="s">
        <v>64</v>
      </c>
      <c r="D70" s="22">
        <v>0.525121</v>
      </c>
      <c r="E70" s="22">
        <v>0.665876</v>
      </c>
      <c r="F70" s="22">
        <v>0.346111</v>
      </c>
      <c r="G70" s="22">
        <v>0.428026</v>
      </c>
      <c r="H70" s="22">
        <v>0.567786</v>
      </c>
      <c r="I70" s="22">
        <v>1</v>
      </c>
      <c r="J70" s="22">
        <v>0.696622</v>
      </c>
      <c r="K70" s="22">
        <v>0.226697</v>
      </c>
      <c r="L70" s="22">
        <v>0.564138</v>
      </c>
      <c r="M70" s="22">
        <v>0.241292</v>
      </c>
      <c r="N70" s="22">
        <v>0.313785</v>
      </c>
      <c r="O70" s="22">
        <v>0.75536</v>
      </c>
      <c r="P70" s="22">
        <v>0.9365</v>
      </c>
      <c r="Q70" s="22">
        <v>0.818447</v>
      </c>
      <c r="R70" s="22">
        <v>0.743975</v>
      </c>
      <c r="S70" s="22">
        <v>0.526846</v>
      </c>
      <c r="T70" s="22">
        <v>0.927868</v>
      </c>
      <c r="U70" s="22">
        <v>0.896245</v>
      </c>
      <c r="V70" s="22">
        <v>0.901898</v>
      </c>
      <c r="W70" s="25">
        <v>0.85772</v>
      </c>
      <c r="X70" s="22">
        <v>264</v>
      </c>
      <c r="Y70" s="22">
        <v>35.875</v>
      </c>
      <c r="Z70" s="22">
        <v>0.375</v>
      </c>
      <c r="AA70" s="22">
        <v>1.648005</v>
      </c>
      <c r="AB70" s="22">
        <v>112.029487</v>
      </c>
    </row>
    <row r="71" spans="1:28">
      <c r="A71" s="27"/>
      <c r="B71" s="22" t="s">
        <v>65</v>
      </c>
      <c r="C71" s="26" t="s">
        <v>66</v>
      </c>
      <c r="D71" s="22">
        <v>0.989646</v>
      </c>
      <c r="E71" s="22">
        <v>0.797712</v>
      </c>
      <c r="F71" s="22">
        <v>0.010975</v>
      </c>
      <c r="G71" s="22">
        <v>0.021596</v>
      </c>
      <c r="H71" s="22">
        <v>0.766481</v>
      </c>
      <c r="I71" s="22">
        <v>1</v>
      </c>
      <c r="J71" s="22">
        <v>0.859195</v>
      </c>
      <c r="K71" s="22">
        <v>0.006931</v>
      </c>
      <c r="L71" s="22">
        <v>0.766481</v>
      </c>
      <c r="M71" s="22">
        <v>0.20187</v>
      </c>
      <c r="N71" s="22">
        <v>0.317124</v>
      </c>
      <c r="O71" s="22">
        <v>0.857559</v>
      </c>
      <c r="P71" s="22">
        <v>0.884842</v>
      </c>
      <c r="Q71" s="22">
        <v>0.868828</v>
      </c>
      <c r="R71" s="22">
        <v>0.678522</v>
      </c>
      <c r="S71" s="22">
        <v>0.444215</v>
      </c>
      <c r="T71" s="22">
        <v>0.882041</v>
      </c>
      <c r="U71" s="22">
        <v>0.84609</v>
      </c>
      <c r="V71" s="22">
        <v>0.863229</v>
      </c>
      <c r="W71" s="25">
        <v>0.813082</v>
      </c>
      <c r="X71" s="22">
        <v>152.167</v>
      </c>
      <c r="Y71" s="22">
        <v>43.625</v>
      </c>
      <c r="Z71" s="22">
        <v>0</v>
      </c>
      <c r="AA71" s="22">
        <v>1.104458</v>
      </c>
      <c r="AB71" s="22">
        <v>131.187117</v>
      </c>
    </row>
    <row r="72" spans="1:28">
      <c r="A72" s="27"/>
      <c r="B72" s="28"/>
      <c r="C72" s="26" t="s">
        <v>67</v>
      </c>
      <c r="D72" s="22">
        <v>0.991307</v>
      </c>
      <c r="E72" s="22">
        <v>0.954279</v>
      </c>
      <c r="F72" s="22">
        <v>0.010971</v>
      </c>
      <c r="G72" s="22">
        <v>0.021647</v>
      </c>
      <c r="H72" s="22">
        <v>0.944601</v>
      </c>
      <c r="I72" s="22">
        <v>1</v>
      </c>
      <c r="J72" s="22">
        <v>0.97035</v>
      </c>
      <c r="K72" s="22">
        <v>0.004469</v>
      </c>
      <c r="L72" s="22">
        <v>0.944601</v>
      </c>
      <c r="M72" s="22">
        <v>0.201413</v>
      </c>
      <c r="N72" s="22">
        <v>0.331805</v>
      </c>
      <c r="O72" s="22">
        <v>0.960939</v>
      </c>
      <c r="P72" s="22">
        <v>0.837685</v>
      </c>
      <c r="Q72" s="22">
        <v>0.890835</v>
      </c>
      <c r="R72" s="22">
        <v>0.682364</v>
      </c>
      <c r="S72" s="22">
        <v>0.45487</v>
      </c>
      <c r="T72" s="22">
        <v>0.867424</v>
      </c>
      <c r="U72" s="22">
        <v>0.835199</v>
      </c>
      <c r="V72" s="22">
        <v>0.853535</v>
      </c>
      <c r="W72" s="25">
        <v>0.806902</v>
      </c>
      <c r="X72" s="22">
        <v>232.5</v>
      </c>
      <c r="Y72" s="22">
        <v>298</v>
      </c>
      <c r="Z72" s="22">
        <v>0</v>
      </c>
      <c r="AA72" s="22">
        <v>0.855193</v>
      </c>
      <c r="AB72" s="22">
        <v>193.312922</v>
      </c>
    </row>
    <row r="73" spans="1:28">
      <c r="A73" s="27"/>
      <c r="B73" s="22" t="s">
        <v>68</v>
      </c>
      <c r="C73" s="26" t="s">
        <v>69</v>
      </c>
      <c r="D73" s="22">
        <v>0.991423</v>
      </c>
      <c r="E73" s="22">
        <v>0.755993</v>
      </c>
      <c r="F73" s="22">
        <v>0.009101</v>
      </c>
      <c r="G73" s="22">
        <v>0.017946</v>
      </c>
      <c r="H73" s="22">
        <v>0.738855</v>
      </c>
      <c r="I73" s="22">
        <v>1</v>
      </c>
      <c r="J73" s="22">
        <v>0.832841</v>
      </c>
      <c r="K73" s="22">
        <v>0.005314</v>
      </c>
      <c r="L73" s="22">
        <v>0.738855</v>
      </c>
      <c r="M73" s="22">
        <v>0.201484</v>
      </c>
      <c r="N73" s="22">
        <v>0.3112</v>
      </c>
      <c r="O73" s="22">
        <v>0.810396</v>
      </c>
      <c r="P73" s="22">
        <v>0.880283</v>
      </c>
      <c r="Q73" s="22">
        <v>0.841167</v>
      </c>
      <c r="R73" s="22">
        <v>0.673483</v>
      </c>
      <c r="S73" s="22">
        <v>0.4495</v>
      </c>
      <c r="T73" s="22">
        <v>0.864622</v>
      </c>
      <c r="U73" s="22">
        <v>0.834354</v>
      </c>
      <c r="V73" s="22">
        <v>0.853</v>
      </c>
      <c r="W73" s="25">
        <v>0.80794</v>
      </c>
      <c r="X73" s="22">
        <v>252.25</v>
      </c>
      <c r="Y73" s="22">
        <v>138.25</v>
      </c>
      <c r="Z73" s="22">
        <v>0.25</v>
      </c>
      <c r="AA73" s="22">
        <v>1.06119</v>
      </c>
      <c r="AB73" s="22">
        <v>167.575075</v>
      </c>
    </row>
    <row r="74" spans="1:28">
      <c r="A74" s="27"/>
      <c r="B74" s="27"/>
      <c r="C74" s="26" t="s">
        <v>70</v>
      </c>
      <c r="D74" s="22">
        <v>0.984705</v>
      </c>
      <c r="E74" s="22">
        <v>0.663025</v>
      </c>
      <c r="F74" s="22">
        <v>0.007809</v>
      </c>
      <c r="G74" s="22">
        <v>0.015422</v>
      </c>
      <c r="H74" s="22">
        <v>0.647255</v>
      </c>
      <c r="I74" s="22">
        <v>0.75</v>
      </c>
      <c r="J74" s="22">
        <v>0.692047</v>
      </c>
      <c r="K74" s="22">
        <v>0.002311</v>
      </c>
      <c r="L74" s="22">
        <v>0.647255</v>
      </c>
      <c r="M74" s="22">
        <v>0.15071</v>
      </c>
      <c r="N74" s="22">
        <v>0.243814</v>
      </c>
      <c r="O74" s="22">
        <v>0.770976</v>
      </c>
      <c r="P74" s="22">
        <v>0.754825</v>
      </c>
      <c r="Q74" s="22">
        <v>0.757978</v>
      </c>
      <c r="R74" s="22">
        <v>0.70024</v>
      </c>
      <c r="S74" s="22">
        <v>0.509866</v>
      </c>
      <c r="T74" s="22">
        <v>0.880629</v>
      </c>
      <c r="U74" s="22">
        <v>0.862183</v>
      </c>
      <c r="V74" s="22">
        <v>0.866181</v>
      </c>
      <c r="W74" s="25">
        <v>0.836666</v>
      </c>
      <c r="X74" s="22">
        <v>193.25</v>
      </c>
      <c r="Y74" s="22">
        <v>106.667</v>
      </c>
      <c r="Z74" s="22">
        <v>0</v>
      </c>
      <c r="AA74" s="22">
        <v>1.360678</v>
      </c>
      <c r="AB74" s="22">
        <v>104.836634</v>
      </c>
    </row>
    <row r="75" spans="1:28">
      <c r="A75" s="27"/>
      <c r="B75" s="27"/>
      <c r="C75" s="26" t="s">
        <v>71</v>
      </c>
      <c r="D75" s="22">
        <v>0.98929</v>
      </c>
      <c r="E75" s="22">
        <v>0.917798</v>
      </c>
      <c r="F75" s="22">
        <v>0.018321</v>
      </c>
      <c r="G75" s="22">
        <v>0.035648</v>
      </c>
      <c r="H75" s="22">
        <v>0.869492</v>
      </c>
      <c r="I75" s="22">
        <v>1</v>
      </c>
      <c r="J75" s="22">
        <v>0.923</v>
      </c>
      <c r="K75" s="22">
        <v>0.011518</v>
      </c>
      <c r="L75" s="22">
        <v>0.869492</v>
      </c>
      <c r="M75" s="22">
        <v>0.202827</v>
      </c>
      <c r="N75" s="22">
        <v>0.327098</v>
      </c>
      <c r="O75" s="22">
        <v>0.938448</v>
      </c>
      <c r="P75" s="22">
        <v>0.870928</v>
      </c>
      <c r="Q75" s="22">
        <v>0.901826</v>
      </c>
      <c r="R75" s="22">
        <v>0.686993</v>
      </c>
      <c r="S75" s="22">
        <v>0.443105</v>
      </c>
      <c r="T75" s="22">
        <v>0.880732</v>
      </c>
      <c r="U75" s="22">
        <v>0.846349</v>
      </c>
      <c r="V75" s="22">
        <v>0.863668</v>
      </c>
      <c r="W75" s="25">
        <v>0.814494</v>
      </c>
      <c r="X75" s="22">
        <v>177</v>
      </c>
      <c r="Y75" s="22">
        <v>304.375</v>
      </c>
      <c r="Z75" s="22">
        <v>0</v>
      </c>
      <c r="AA75" s="22">
        <v>1.043081</v>
      </c>
      <c r="AB75" s="22">
        <v>157.103153</v>
      </c>
    </row>
    <row r="76" spans="1:28">
      <c r="A76" s="27"/>
      <c r="B76" s="28"/>
      <c r="C76" s="26" t="s">
        <v>72</v>
      </c>
      <c r="D76" s="22">
        <v>0.988075</v>
      </c>
      <c r="E76" s="22">
        <v>0.819925</v>
      </c>
      <c r="F76" s="22">
        <v>0.012958</v>
      </c>
      <c r="G76" s="22">
        <v>0.025366</v>
      </c>
      <c r="H76" s="22">
        <v>0.80707</v>
      </c>
      <c r="I76" s="22">
        <v>1</v>
      </c>
      <c r="J76" s="22">
        <v>0.886054</v>
      </c>
      <c r="K76" s="22">
        <v>0.007667</v>
      </c>
      <c r="L76" s="22">
        <v>0.80707</v>
      </c>
      <c r="M76" s="22">
        <v>0.201903</v>
      </c>
      <c r="N76" s="22">
        <v>0.321197</v>
      </c>
      <c r="O76" s="22">
        <v>0.831464</v>
      </c>
      <c r="P76" s="22">
        <v>0.876849</v>
      </c>
      <c r="Q76" s="22">
        <v>0.849384</v>
      </c>
      <c r="R76" s="22">
        <v>0.68266</v>
      </c>
      <c r="S76" s="22">
        <v>0.45192</v>
      </c>
      <c r="T76" s="22">
        <v>0.868861</v>
      </c>
      <c r="U76" s="22">
        <v>0.834882</v>
      </c>
      <c r="V76" s="22">
        <v>0.852645</v>
      </c>
      <c r="W76" s="25">
        <v>0.803444</v>
      </c>
      <c r="X76" s="22">
        <v>253</v>
      </c>
      <c r="Y76" s="22">
        <v>89.125</v>
      </c>
      <c r="Z76" s="22">
        <v>0.25</v>
      </c>
      <c r="AA76" s="22">
        <v>1.267163</v>
      </c>
      <c r="AB76" s="22">
        <v>166.248812</v>
      </c>
    </row>
    <row r="77" spans="1:28">
      <c r="A77" s="28"/>
      <c r="B77" s="22" t="s">
        <v>73</v>
      </c>
      <c r="C77" s="26" t="s">
        <v>74</v>
      </c>
      <c r="D77" s="22">
        <v>0.919061</v>
      </c>
      <c r="E77" s="22">
        <v>0.798816</v>
      </c>
      <c r="F77" s="22">
        <v>0.074302</v>
      </c>
      <c r="G77" s="22">
        <v>0.122263</v>
      </c>
      <c r="H77" s="22">
        <v>0.758095</v>
      </c>
      <c r="I77" s="22">
        <v>0.875</v>
      </c>
      <c r="J77" s="22">
        <v>0.785021</v>
      </c>
      <c r="K77" s="22">
        <v>0.04495</v>
      </c>
      <c r="L77" s="22">
        <v>0.758095</v>
      </c>
      <c r="M77" s="22">
        <v>0.180763</v>
      </c>
      <c r="N77" s="22">
        <v>0.280711</v>
      </c>
      <c r="O77" s="22">
        <v>0.81763</v>
      </c>
      <c r="P77" s="22">
        <v>0.661407</v>
      </c>
      <c r="Q77" s="22">
        <v>0.722129</v>
      </c>
      <c r="R77" s="22">
        <v>0.764065</v>
      </c>
      <c r="S77" s="22">
        <v>0.576265</v>
      </c>
      <c r="T77" s="22">
        <v>0.920788</v>
      </c>
      <c r="U77" s="22">
        <v>0.88622</v>
      </c>
      <c r="V77" s="22">
        <v>0.905813</v>
      </c>
      <c r="W77" s="25">
        <v>0.8665</v>
      </c>
      <c r="X77" s="22">
        <v>138</v>
      </c>
      <c r="Y77" s="22">
        <v>171</v>
      </c>
      <c r="Z77" s="22">
        <v>0</v>
      </c>
      <c r="AA77" s="22">
        <v>1.073993</v>
      </c>
      <c r="AB77" s="22">
        <v>178.349627</v>
      </c>
    </row>
  </sheetData>
  <mergeCells count="12">
    <mergeCell ref="A3:A38"/>
    <mergeCell ref="A42:A77"/>
    <mergeCell ref="B3:B5"/>
    <mergeCell ref="B6:B13"/>
    <mergeCell ref="B14:B31"/>
    <mergeCell ref="B32:B33"/>
    <mergeCell ref="B34:B37"/>
    <mergeCell ref="B42:B44"/>
    <mergeCell ref="B45:B52"/>
    <mergeCell ref="B53:B70"/>
    <mergeCell ref="B71:B72"/>
    <mergeCell ref="B73:B76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B78"/>
  <sheetViews>
    <sheetView workbookViewId="0">
      <selection activeCell="A1" sqref="A1"/>
    </sheetView>
  </sheetViews>
  <sheetFormatPr defaultColWidth="14" defaultRowHeight="16.5"/>
  <cols>
    <col min="4" max="23" width="14.7083333333333" style="1" customWidth="1"/>
    <col min="24" max="25" width="19.7083333333333" style="1" customWidth="1"/>
    <col min="26" max="26" width="17.7083333333333" style="1" customWidth="1"/>
    <col min="27" max="27" width="26.7083333333333" style="1" customWidth="1"/>
    <col min="28" max="28" width="15.7083333333333" style="1" customWidth="1"/>
  </cols>
  <sheetData>
    <row r="3" spans="1:28">
      <c r="A3" s="22" t="s">
        <v>0</v>
      </c>
      <c r="B3" s="22" t="s">
        <v>0</v>
      </c>
      <c r="C3" s="23" t="s">
        <v>0</v>
      </c>
      <c r="D3" s="24" t="s">
        <v>7</v>
      </c>
      <c r="E3" s="22" t="s">
        <v>8</v>
      </c>
      <c r="F3" s="22" t="s">
        <v>9</v>
      </c>
      <c r="G3" s="22" t="s">
        <v>10</v>
      </c>
      <c r="H3" s="22" t="s">
        <v>11</v>
      </c>
      <c r="I3" s="22" t="s">
        <v>12</v>
      </c>
      <c r="J3" s="22" t="s">
        <v>13</v>
      </c>
      <c r="K3" s="22" t="s">
        <v>14</v>
      </c>
      <c r="L3" s="22" t="s">
        <v>15</v>
      </c>
      <c r="M3" s="22" t="s">
        <v>16</v>
      </c>
      <c r="N3" s="22" t="s">
        <v>17</v>
      </c>
      <c r="O3" s="22" t="s">
        <v>18</v>
      </c>
      <c r="P3" s="22" t="s">
        <v>19</v>
      </c>
      <c r="Q3" s="22" t="s">
        <v>20</v>
      </c>
      <c r="R3" s="22" t="s">
        <v>21</v>
      </c>
      <c r="S3" s="22" t="s">
        <v>22</v>
      </c>
      <c r="T3" s="22" t="s">
        <v>23</v>
      </c>
      <c r="U3" s="22" t="s">
        <v>24</v>
      </c>
      <c r="V3" s="22" t="s">
        <v>25</v>
      </c>
      <c r="W3" s="25" t="s">
        <v>26</v>
      </c>
      <c r="X3" s="22" t="s">
        <v>27</v>
      </c>
      <c r="Y3" s="22" t="s">
        <v>28</v>
      </c>
      <c r="Z3" s="22" t="s">
        <v>29</v>
      </c>
      <c r="AA3" s="24" t="s">
        <v>30</v>
      </c>
      <c r="AB3" s="24" t="s">
        <v>31</v>
      </c>
    </row>
    <row r="4" spans="1:28">
      <c r="A4" s="22" t="s">
        <v>116</v>
      </c>
      <c r="B4" s="22" t="s">
        <v>33</v>
      </c>
      <c r="C4" s="26" t="s">
        <v>34</v>
      </c>
      <c r="D4" s="22">
        <v>1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  <c r="K4" s="22">
        <v>0</v>
      </c>
      <c r="L4" s="22">
        <v>0</v>
      </c>
      <c r="M4" s="22">
        <v>0</v>
      </c>
      <c r="N4" s="22">
        <v>0</v>
      </c>
      <c r="O4" s="22">
        <v>0</v>
      </c>
      <c r="P4" s="22">
        <v>0</v>
      </c>
      <c r="Q4" s="22">
        <v>0</v>
      </c>
      <c r="R4" s="22">
        <v>0.678959</v>
      </c>
      <c r="S4" s="22">
        <v>0.514591</v>
      </c>
      <c r="T4" s="22">
        <v>0.956746</v>
      </c>
      <c r="U4" s="22">
        <v>0.934741</v>
      </c>
      <c r="V4" s="22">
        <v>0.912079</v>
      </c>
      <c r="W4" s="25">
        <v>0.877815</v>
      </c>
      <c r="X4" s="22" t="s">
        <v>0</v>
      </c>
      <c r="Y4" s="22" t="s">
        <v>0</v>
      </c>
      <c r="Z4" s="22">
        <v>0</v>
      </c>
      <c r="AA4" s="22">
        <v>0</v>
      </c>
      <c r="AB4" s="22" t="s">
        <v>0</v>
      </c>
    </row>
    <row r="5" spans="1:28">
      <c r="A5" s="27"/>
      <c r="B5" s="27"/>
      <c r="C5" s="26" t="s">
        <v>35</v>
      </c>
      <c r="D5" s="22">
        <v>1</v>
      </c>
      <c r="E5" s="22">
        <v>0</v>
      </c>
      <c r="F5" s="22">
        <v>0</v>
      </c>
      <c r="G5" s="22">
        <v>0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2">
        <v>0</v>
      </c>
      <c r="N5" s="22">
        <v>0</v>
      </c>
      <c r="O5" s="22">
        <v>0</v>
      </c>
      <c r="P5" s="22">
        <v>0</v>
      </c>
      <c r="Q5" s="22">
        <v>0</v>
      </c>
      <c r="R5" s="22">
        <v>0.758878</v>
      </c>
      <c r="S5" s="22">
        <v>0.560878</v>
      </c>
      <c r="T5" s="22">
        <v>0.973255</v>
      </c>
      <c r="U5" s="22">
        <v>0.946073</v>
      </c>
      <c r="V5" s="22">
        <v>0.932626</v>
      </c>
      <c r="W5" s="25">
        <v>0.883714</v>
      </c>
      <c r="X5" s="22" t="s">
        <v>0</v>
      </c>
      <c r="Y5" s="22" t="s">
        <v>0</v>
      </c>
      <c r="Z5" s="22">
        <v>0</v>
      </c>
      <c r="AA5" s="22">
        <v>0</v>
      </c>
      <c r="AB5" s="22" t="s">
        <v>0</v>
      </c>
    </row>
    <row r="6" spans="1:28">
      <c r="A6" s="27"/>
      <c r="B6" s="28"/>
      <c r="C6" s="26" t="s">
        <v>36</v>
      </c>
      <c r="D6" s="22">
        <v>0.308902</v>
      </c>
      <c r="E6" s="22">
        <v>0.687186</v>
      </c>
      <c r="F6" s="22">
        <v>0.713235</v>
      </c>
      <c r="G6" s="22">
        <v>0.665306</v>
      </c>
      <c r="H6" s="22">
        <v>0.612319</v>
      </c>
      <c r="I6" s="22">
        <v>1</v>
      </c>
      <c r="J6" s="22">
        <v>0.740308</v>
      </c>
      <c r="K6" s="22">
        <v>0.250538</v>
      </c>
      <c r="L6" s="22">
        <v>0.609244</v>
      </c>
      <c r="M6" s="22">
        <v>0.213063</v>
      </c>
      <c r="N6" s="22">
        <v>0.307975</v>
      </c>
      <c r="O6" s="22">
        <v>0.755675</v>
      </c>
      <c r="P6" s="22">
        <v>0.99638</v>
      </c>
      <c r="Q6" s="22">
        <v>0.854359</v>
      </c>
      <c r="R6" s="22">
        <v>0.74314</v>
      </c>
      <c r="S6" s="22">
        <v>0.536801</v>
      </c>
      <c r="T6" s="22">
        <v>0.973105</v>
      </c>
      <c r="U6" s="22">
        <v>0.949206</v>
      </c>
      <c r="V6" s="22">
        <v>0.933093</v>
      </c>
      <c r="W6" s="25">
        <v>0.892109</v>
      </c>
      <c r="X6" s="22">
        <v>432</v>
      </c>
      <c r="Y6" s="22">
        <v>29</v>
      </c>
      <c r="Z6" s="22">
        <v>0.5</v>
      </c>
      <c r="AA6" s="22">
        <v>7.325301</v>
      </c>
      <c r="AB6" s="22">
        <v>19.843804</v>
      </c>
    </row>
    <row r="7" spans="1:28">
      <c r="A7" s="27"/>
      <c r="B7" s="22" t="s">
        <v>37</v>
      </c>
      <c r="C7" s="26" t="s">
        <v>38</v>
      </c>
      <c r="D7" s="22">
        <v>0.999833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0.679619</v>
      </c>
      <c r="S7" s="22">
        <v>0.517467</v>
      </c>
      <c r="T7" s="22">
        <v>0.948423</v>
      </c>
      <c r="U7" s="22">
        <v>0.921928</v>
      </c>
      <c r="V7" s="22">
        <v>0.903464</v>
      </c>
      <c r="W7" s="25">
        <v>0.866737</v>
      </c>
      <c r="X7" s="22" t="s">
        <v>0</v>
      </c>
      <c r="Y7" s="22" t="s">
        <v>0</v>
      </c>
      <c r="Z7" s="22">
        <v>0</v>
      </c>
      <c r="AA7" s="22">
        <v>0.024096</v>
      </c>
      <c r="AB7" s="22" t="s">
        <v>0</v>
      </c>
    </row>
    <row r="8" spans="1:28">
      <c r="A8" s="27"/>
      <c r="B8" s="27"/>
      <c r="C8" s="26" t="s">
        <v>39</v>
      </c>
      <c r="D8" s="22">
        <v>0.996653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0.758967</v>
      </c>
      <c r="S8" s="22">
        <v>0.529646</v>
      </c>
      <c r="T8" s="22">
        <v>0.966861</v>
      </c>
      <c r="U8" s="22">
        <v>0.933574</v>
      </c>
      <c r="V8" s="22">
        <v>0.924896</v>
      </c>
      <c r="W8" s="25">
        <v>0.866136</v>
      </c>
      <c r="X8" s="22" t="s">
        <v>0</v>
      </c>
      <c r="Y8" s="22" t="s">
        <v>0</v>
      </c>
      <c r="Z8" s="22">
        <v>0</v>
      </c>
      <c r="AA8" s="22">
        <v>0.26506</v>
      </c>
      <c r="AB8" s="22">
        <v>44.6</v>
      </c>
    </row>
    <row r="9" spans="1:28">
      <c r="A9" s="27"/>
      <c r="B9" s="27"/>
      <c r="C9" s="26" t="s">
        <v>40</v>
      </c>
      <c r="D9" s="22">
        <v>1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0.589712</v>
      </c>
      <c r="S9" s="22">
        <v>0.271273</v>
      </c>
      <c r="T9" s="22">
        <v>0.964353</v>
      </c>
      <c r="U9" s="22">
        <v>0.927801</v>
      </c>
      <c r="V9" s="22">
        <v>0.90938</v>
      </c>
      <c r="W9" s="25">
        <v>0.839186</v>
      </c>
      <c r="X9" s="22" t="s">
        <v>0</v>
      </c>
      <c r="Y9" s="22" t="s">
        <v>0</v>
      </c>
      <c r="Z9" s="22">
        <v>0</v>
      </c>
      <c r="AA9" s="22">
        <v>0</v>
      </c>
      <c r="AB9" s="22" t="s">
        <v>0</v>
      </c>
    </row>
    <row r="10" spans="1:28">
      <c r="A10" s="27"/>
      <c r="B10" s="27"/>
      <c r="C10" s="26" t="s">
        <v>41</v>
      </c>
      <c r="D10" s="22">
        <v>0.310576</v>
      </c>
      <c r="E10" s="22">
        <v>0.69883</v>
      </c>
      <c r="F10" s="22">
        <v>0.696294</v>
      </c>
      <c r="G10" s="22">
        <v>0.659606</v>
      </c>
      <c r="H10" s="22">
        <v>0.655011</v>
      </c>
      <c r="I10" s="22">
        <v>1</v>
      </c>
      <c r="J10" s="22">
        <v>0.783519</v>
      </c>
      <c r="K10" s="22">
        <v>0.310573</v>
      </c>
      <c r="L10" s="22">
        <v>0.653985</v>
      </c>
      <c r="M10" s="22">
        <v>0.21379</v>
      </c>
      <c r="N10" s="22">
        <v>0.319068</v>
      </c>
      <c r="O10" s="22">
        <v>0.76438</v>
      </c>
      <c r="P10" s="22">
        <v>0.99631</v>
      </c>
      <c r="Q10" s="22">
        <v>0.860973</v>
      </c>
      <c r="R10" s="22">
        <v>0.680862</v>
      </c>
      <c r="S10" s="22">
        <v>0.500564</v>
      </c>
      <c r="T10" s="22">
        <v>0.954616</v>
      </c>
      <c r="U10" s="22">
        <v>0.936371</v>
      </c>
      <c r="V10" s="22">
        <v>0.904052</v>
      </c>
      <c r="W10" s="25">
        <v>0.870947</v>
      </c>
      <c r="X10" s="22">
        <v>432</v>
      </c>
      <c r="Y10" s="22">
        <v>3.5</v>
      </c>
      <c r="Z10" s="22">
        <v>0.5</v>
      </c>
      <c r="AA10" s="22">
        <v>7.39759</v>
      </c>
      <c r="AB10" s="22">
        <v>20.731145</v>
      </c>
    </row>
    <row r="11" spans="1:28">
      <c r="A11" s="27"/>
      <c r="B11" s="27"/>
      <c r="C11" s="26" t="s">
        <v>42</v>
      </c>
      <c r="D11" s="22">
        <v>1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0.660433</v>
      </c>
      <c r="S11" s="22">
        <v>0.471783</v>
      </c>
      <c r="T11" s="22">
        <v>0.907594</v>
      </c>
      <c r="U11" s="22">
        <v>0.883623</v>
      </c>
      <c r="V11" s="22">
        <v>0.879754</v>
      </c>
      <c r="W11" s="25">
        <v>0.839901</v>
      </c>
      <c r="X11" s="22" t="s">
        <v>0</v>
      </c>
      <c r="Y11" s="22" t="s">
        <v>0</v>
      </c>
      <c r="Z11" s="22">
        <v>0</v>
      </c>
      <c r="AA11" s="22">
        <v>0</v>
      </c>
      <c r="AB11" s="22" t="s">
        <v>0</v>
      </c>
    </row>
    <row r="12" spans="1:28">
      <c r="A12" s="27"/>
      <c r="B12" s="27"/>
      <c r="C12" s="26" t="s">
        <v>43</v>
      </c>
      <c r="D12" s="22">
        <v>0.98745</v>
      </c>
      <c r="E12" s="22">
        <v>0.5</v>
      </c>
      <c r="F12" s="22">
        <v>0.000498</v>
      </c>
      <c r="G12" s="22">
        <v>0.000994</v>
      </c>
      <c r="H12" s="22">
        <v>0.5</v>
      </c>
      <c r="I12" s="22">
        <v>0.5</v>
      </c>
      <c r="J12" s="22">
        <v>0.5</v>
      </c>
      <c r="K12" s="22">
        <v>0.000994</v>
      </c>
      <c r="L12" s="22">
        <v>0.5</v>
      </c>
      <c r="M12" s="22">
        <v>0.100398</v>
      </c>
      <c r="N12" s="22">
        <v>0.167219</v>
      </c>
      <c r="O12" s="22">
        <v>0.5</v>
      </c>
      <c r="P12" s="22">
        <v>0.169144</v>
      </c>
      <c r="Q12" s="22">
        <v>0.252776</v>
      </c>
      <c r="R12" s="22">
        <v>0.703658</v>
      </c>
      <c r="S12" s="22">
        <v>0.498785</v>
      </c>
      <c r="T12" s="22">
        <v>0.928669</v>
      </c>
      <c r="U12" s="22">
        <v>0.889527</v>
      </c>
      <c r="V12" s="22">
        <v>0.895602</v>
      </c>
      <c r="W12" s="25">
        <v>0.839988</v>
      </c>
      <c r="X12" s="22" t="s">
        <v>0</v>
      </c>
      <c r="Y12" s="22">
        <v>39</v>
      </c>
      <c r="Z12" s="22">
        <v>0</v>
      </c>
      <c r="AA12" s="22">
        <v>0.481928</v>
      </c>
      <c r="AB12" s="22">
        <v>31.052632</v>
      </c>
    </row>
    <row r="13" spans="1:28">
      <c r="A13" s="27"/>
      <c r="B13" s="27"/>
      <c r="C13" s="29" t="s">
        <v>44</v>
      </c>
      <c r="D13" s="22">
        <v>0.979083</v>
      </c>
      <c r="E13" s="22">
        <v>0.65625</v>
      </c>
      <c r="F13" s="22">
        <v>0.016382</v>
      </c>
      <c r="G13" s="22">
        <v>0.031721</v>
      </c>
      <c r="H13" s="22">
        <v>0.659848</v>
      </c>
      <c r="I13" s="22">
        <v>1</v>
      </c>
      <c r="J13" s="22">
        <v>0.761447</v>
      </c>
      <c r="K13" s="22">
        <v>0.003958</v>
      </c>
      <c r="L13" s="22">
        <v>0.659848</v>
      </c>
      <c r="M13" s="22">
        <v>0.200846</v>
      </c>
      <c r="N13" s="22">
        <v>0.297431</v>
      </c>
      <c r="O13" s="22">
        <v>0.761241</v>
      </c>
      <c r="P13" s="22">
        <v>0.892279</v>
      </c>
      <c r="Q13" s="22">
        <v>0.803012</v>
      </c>
      <c r="R13" s="22">
        <v>0.673737</v>
      </c>
      <c r="S13" s="22">
        <v>0.439302</v>
      </c>
      <c r="T13" s="22">
        <v>0.958293</v>
      </c>
      <c r="U13" s="22">
        <v>0.927081</v>
      </c>
      <c r="V13" s="22">
        <v>0.9189</v>
      </c>
      <c r="W13" s="25">
        <v>0.867128</v>
      </c>
      <c r="X13" s="22">
        <v>328</v>
      </c>
      <c r="Y13" s="22">
        <v>293.5</v>
      </c>
      <c r="Z13" s="22">
        <v>0.5</v>
      </c>
      <c r="AA13" s="22">
        <v>2.650602</v>
      </c>
      <c r="AB13" s="22">
        <v>52.581011</v>
      </c>
    </row>
    <row r="14" spans="1:28">
      <c r="A14" s="27"/>
      <c r="B14" s="28"/>
      <c r="C14" s="26" t="s">
        <v>45</v>
      </c>
      <c r="D14" s="22">
        <v>0.534806</v>
      </c>
      <c r="E14" s="22">
        <v>0.706267</v>
      </c>
      <c r="F14" s="22">
        <v>0.503703</v>
      </c>
      <c r="G14" s="22">
        <v>0.548529</v>
      </c>
      <c r="H14" s="22">
        <v>0.67103</v>
      </c>
      <c r="I14" s="22">
        <v>1</v>
      </c>
      <c r="J14" s="22">
        <v>0.7947</v>
      </c>
      <c r="K14" s="22">
        <v>0.141312</v>
      </c>
      <c r="L14" s="22">
        <v>0.66935</v>
      </c>
      <c r="M14" s="22">
        <v>0.209922</v>
      </c>
      <c r="N14" s="22">
        <v>0.316933</v>
      </c>
      <c r="O14" s="22">
        <v>0.774962</v>
      </c>
      <c r="P14" s="22">
        <v>0.968482</v>
      </c>
      <c r="Q14" s="22">
        <v>0.853695</v>
      </c>
      <c r="R14" s="22">
        <v>0.67635</v>
      </c>
      <c r="S14" s="22">
        <v>0.496407</v>
      </c>
      <c r="T14" s="22">
        <v>0.953176</v>
      </c>
      <c r="U14" s="22">
        <v>0.935211</v>
      </c>
      <c r="V14" s="22">
        <v>0.902534</v>
      </c>
      <c r="W14" s="25">
        <v>0.869889</v>
      </c>
      <c r="X14" s="22">
        <v>432</v>
      </c>
      <c r="Y14" s="22">
        <v>139</v>
      </c>
      <c r="Z14" s="22">
        <v>0.5</v>
      </c>
      <c r="AA14" s="22">
        <v>6.674699</v>
      </c>
      <c r="AB14" s="22">
        <v>21.595174</v>
      </c>
    </row>
    <row r="15" spans="1:28">
      <c r="A15" s="27"/>
      <c r="B15" s="30" t="s">
        <v>46</v>
      </c>
      <c r="C15" s="26" t="s">
        <v>47</v>
      </c>
      <c r="D15" s="22">
        <v>0.55338</v>
      </c>
      <c r="E15" s="22">
        <v>0.704872</v>
      </c>
      <c r="F15" s="22">
        <v>0.467975</v>
      </c>
      <c r="G15" s="22">
        <v>0.523853</v>
      </c>
      <c r="H15" s="22">
        <v>0.641352</v>
      </c>
      <c r="I15" s="22">
        <v>1</v>
      </c>
      <c r="J15" s="22">
        <v>0.767867</v>
      </c>
      <c r="K15" s="22">
        <v>0.13733</v>
      </c>
      <c r="L15" s="22">
        <v>0.639672</v>
      </c>
      <c r="M15" s="22">
        <v>0.209191</v>
      </c>
      <c r="N15" s="22">
        <v>0.310527</v>
      </c>
      <c r="O15" s="22">
        <v>0.775502</v>
      </c>
      <c r="P15" s="22">
        <v>0.96749</v>
      </c>
      <c r="Q15" s="22">
        <v>0.853101</v>
      </c>
      <c r="R15" s="22">
        <v>0.696486</v>
      </c>
      <c r="S15" s="22">
        <v>0.506119</v>
      </c>
      <c r="T15" s="22">
        <v>0.976926</v>
      </c>
      <c r="U15" s="22">
        <v>0.940011</v>
      </c>
      <c r="V15" s="22">
        <v>0.942903</v>
      </c>
      <c r="W15" s="25">
        <v>0.875572</v>
      </c>
      <c r="X15" s="22">
        <v>432</v>
      </c>
      <c r="Y15" s="22">
        <v>139</v>
      </c>
      <c r="Z15" s="22">
        <v>0.5</v>
      </c>
      <c r="AA15" s="22">
        <v>6.313253</v>
      </c>
      <c r="AB15" s="22">
        <v>22.851813</v>
      </c>
    </row>
    <row r="16" spans="1:28">
      <c r="A16" s="27"/>
      <c r="B16" s="27"/>
      <c r="C16" s="26" t="s">
        <v>48</v>
      </c>
      <c r="D16" s="22">
        <v>0.994813</v>
      </c>
      <c r="E16" s="22">
        <v>0.5</v>
      </c>
      <c r="F16" s="22">
        <v>0.003473</v>
      </c>
      <c r="G16" s="22">
        <v>0.006867</v>
      </c>
      <c r="H16" s="22">
        <v>0.511905</v>
      </c>
      <c r="I16" s="22">
        <v>1</v>
      </c>
      <c r="J16" s="22">
        <v>0.663158</v>
      </c>
      <c r="K16" s="22">
        <v>0.001982</v>
      </c>
      <c r="L16" s="22">
        <v>0.511905</v>
      </c>
      <c r="M16" s="22">
        <v>0.200794</v>
      </c>
      <c r="N16" s="22">
        <v>0.282847</v>
      </c>
      <c r="O16" s="22">
        <v>0.631298</v>
      </c>
      <c r="P16" s="22">
        <v>0.814925</v>
      </c>
      <c r="Q16" s="22">
        <v>0.706849</v>
      </c>
      <c r="R16" s="22">
        <v>0.681755</v>
      </c>
      <c r="S16" s="22">
        <v>0.463739</v>
      </c>
      <c r="T16" s="22">
        <v>0.959039</v>
      </c>
      <c r="U16" s="22">
        <v>0.929174</v>
      </c>
      <c r="V16" s="22">
        <v>0.920798</v>
      </c>
      <c r="W16" s="25">
        <v>0.872116</v>
      </c>
      <c r="X16" s="22">
        <v>328</v>
      </c>
      <c r="Y16" s="22">
        <v>351</v>
      </c>
      <c r="Z16" s="22">
        <v>0.5</v>
      </c>
      <c r="AA16" s="22">
        <v>0.698795</v>
      </c>
      <c r="AB16" s="22">
        <v>177.299451</v>
      </c>
    </row>
    <row r="17" spans="1:28">
      <c r="A17" s="27"/>
      <c r="B17" s="27"/>
      <c r="C17" s="26" t="s">
        <v>49</v>
      </c>
      <c r="D17" s="22">
        <v>0.406794</v>
      </c>
      <c r="E17" s="22">
        <v>0.698325</v>
      </c>
      <c r="F17" s="22">
        <v>0.606394</v>
      </c>
      <c r="G17" s="22">
        <v>0.604024</v>
      </c>
      <c r="H17" s="22">
        <v>0.610084</v>
      </c>
      <c r="I17" s="22">
        <v>1</v>
      </c>
      <c r="J17" s="22">
        <v>0.753416</v>
      </c>
      <c r="K17" s="22">
        <v>0.217853</v>
      </c>
      <c r="L17" s="22">
        <v>0.609023</v>
      </c>
      <c r="M17" s="22">
        <v>0.215841</v>
      </c>
      <c r="N17" s="22">
        <v>0.316991</v>
      </c>
      <c r="O17" s="22">
        <v>0.764423</v>
      </c>
      <c r="P17" s="22">
        <v>0.970658</v>
      </c>
      <c r="Q17" s="22">
        <v>0.849518</v>
      </c>
      <c r="R17" s="22">
        <v>0.701507</v>
      </c>
      <c r="S17" s="22">
        <v>0.499817</v>
      </c>
      <c r="T17" s="22">
        <v>0.964557</v>
      </c>
      <c r="U17" s="22">
        <v>0.940744</v>
      </c>
      <c r="V17" s="22">
        <v>0.919342</v>
      </c>
      <c r="W17" s="25">
        <v>0.878147</v>
      </c>
      <c r="X17" s="22">
        <v>432</v>
      </c>
      <c r="Y17" s="22">
        <v>138.5</v>
      </c>
      <c r="Z17" s="22">
        <v>0.5</v>
      </c>
      <c r="AA17" s="22">
        <v>5.253012</v>
      </c>
      <c r="AB17" s="22">
        <v>27.859847</v>
      </c>
    </row>
    <row r="18" spans="1:28">
      <c r="A18" s="27"/>
      <c r="B18" s="27"/>
      <c r="C18" s="26" t="s">
        <v>50</v>
      </c>
      <c r="D18" s="22">
        <v>0.973059</v>
      </c>
      <c r="E18" s="22">
        <v>0.702181</v>
      </c>
      <c r="F18" s="22">
        <v>0.030287</v>
      </c>
      <c r="G18" s="22">
        <v>0.057661</v>
      </c>
      <c r="H18" s="22">
        <v>0.724681</v>
      </c>
      <c r="I18" s="22">
        <v>1</v>
      </c>
      <c r="J18" s="22">
        <v>0.818367</v>
      </c>
      <c r="K18" s="22">
        <v>0.007882</v>
      </c>
      <c r="L18" s="22">
        <v>0.724681</v>
      </c>
      <c r="M18" s="22">
        <v>0.201032</v>
      </c>
      <c r="N18" s="22">
        <v>0.308711</v>
      </c>
      <c r="O18" s="22">
        <v>0.786525</v>
      </c>
      <c r="P18" s="22">
        <v>0.971217</v>
      </c>
      <c r="Q18" s="22">
        <v>0.856906</v>
      </c>
      <c r="R18" s="22">
        <v>0.687722</v>
      </c>
      <c r="S18" s="22">
        <v>0.570996</v>
      </c>
      <c r="T18" s="22">
        <v>0.95546</v>
      </c>
      <c r="U18" s="22">
        <v>0.925292</v>
      </c>
      <c r="V18" s="22">
        <v>0.907712</v>
      </c>
      <c r="W18" s="25">
        <v>0.865427</v>
      </c>
      <c r="X18" s="22">
        <v>345</v>
      </c>
      <c r="Y18" s="22">
        <v>53.5</v>
      </c>
      <c r="Z18" s="22">
        <v>0.5</v>
      </c>
      <c r="AA18" s="22">
        <v>2.746988</v>
      </c>
      <c r="AB18" s="22">
        <v>50.409836</v>
      </c>
    </row>
    <row r="19" spans="1:28">
      <c r="A19" s="27"/>
      <c r="B19" s="27"/>
      <c r="C19" s="26" t="s">
        <v>51</v>
      </c>
      <c r="D19" s="22">
        <v>0.987784</v>
      </c>
      <c r="E19" s="22">
        <v>0.783333</v>
      </c>
      <c r="F19" s="22">
        <v>0.008922</v>
      </c>
      <c r="G19" s="22">
        <v>0.017356</v>
      </c>
      <c r="H19" s="22">
        <v>0.818182</v>
      </c>
      <c r="I19" s="22">
        <v>1</v>
      </c>
      <c r="J19" s="22">
        <v>0.888889</v>
      </c>
      <c r="K19" s="22">
        <v>0.004934</v>
      </c>
      <c r="L19" s="22">
        <v>0.818182</v>
      </c>
      <c r="M19" s="22">
        <v>0.201361</v>
      </c>
      <c r="N19" s="22">
        <v>0.320505</v>
      </c>
      <c r="O19" s="22">
        <v>0.842737</v>
      </c>
      <c r="P19" s="22">
        <v>0.733251</v>
      </c>
      <c r="Q19" s="22">
        <v>0.765052</v>
      </c>
      <c r="R19" s="22">
        <v>0.616002</v>
      </c>
      <c r="S19" s="22">
        <v>0.322004</v>
      </c>
      <c r="T19" s="22">
        <v>0.94362</v>
      </c>
      <c r="U19" s="22">
        <v>0.905105</v>
      </c>
      <c r="V19" s="22">
        <v>0.890942</v>
      </c>
      <c r="W19" s="25">
        <v>0.828542</v>
      </c>
      <c r="X19" s="22">
        <v>428</v>
      </c>
      <c r="Y19" s="22">
        <v>350</v>
      </c>
      <c r="Z19" s="22">
        <v>0.5</v>
      </c>
      <c r="AA19" s="22">
        <v>0.771084</v>
      </c>
      <c r="AB19" s="22">
        <v>177.455357</v>
      </c>
    </row>
    <row r="20" spans="1:28">
      <c r="A20" s="27"/>
      <c r="B20" s="27"/>
      <c r="C20" s="26" t="s">
        <v>52</v>
      </c>
      <c r="D20" s="22">
        <v>0.989123</v>
      </c>
      <c r="E20" s="22">
        <v>0.636905</v>
      </c>
      <c r="F20" s="22">
        <v>0.009929</v>
      </c>
      <c r="G20" s="22">
        <v>0.019529</v>
      </c>
      <c r="H20" s="22">
        <v>0.65311</v>
      </c>
      <c r="I20" s="22">
        <v>1</v>
      </c>
      <c r="J20" s="22">
        <v>0.787719</v>
      </c>
      <c r="K20" s="22">
        <v>0.002974</v>
      </c>
      <c r="L20" s="22">
        <v>0.65311</v>
      </c>
      <c r="M20" s="22">
        <v>0.200844</v>
      </c>
      <c r="N20" s="22">
        <v>0.306499</v>
      </c>
      <c r="O20" s="22">
        <v>0.698188</v>
      </c>
      <c r="P20" s="22">
        <v>0.942123</v>
      </c>
      <c r="Q20" s="22">
        <v>0.799871</v>
      </c>
      <c r="R20" s="22">
        <v>0.684868</v>
      </c>
      <c r="S20" s="22">
        <v>0.480607</v>
      </c>
      <c r="T20" s="22">
        <v>0.953982</v>
      </c>
      <c r="U20" s="22">
        <v>0.906841</v>
      </c>
      <c r="V20" s="22">
        <v>0.900694</v>
      </c>
      <c r="W20" s="25">
        <v>0.847918</v>
      </c>
      <c r="X20" s="22">
        <v>406</v>
      </c>
      <c r="Y20" s="22">
        <v>42</v>
      </c>
      <c r="Z20" s="22">
        <v>0.5</v>
      </c>
      <c r="AA20" s="22">
        <v>1.421687</v>
      </c>
      <c r="AB20" s="22">
        <v>100.700397</v>
      </c>
    </row>
    <row r="21" spans="1:28">
      <c r="A21" s="27"/>
      <c r="B21" s="27"/>
      <c r="C21" s="26" t="s">
        <v>53</v>
      </c>
      <c r="D21" s="30">
        <v>0.987115</v>
      </c>
      <c r="E21" s="30">
        <v>0.5625</v>
      </c>
      <c r="F21" s="30">
        <v>0.004462</v>
      </c>
      <c r="G21" s="30">
        <v>0.00845</v>
      </c>
      <c r="H21" s="30">
        <v>0.617647</v>
      </c>
      <c r="I21" s="30">
        <v>1</v>
      </c>
      <c r="J21" s="30">
        <v>0.690476</v>
      </c>
      <c r="K21" s="30">
        <v>0.00296</v>
      </c>
      <c r="L21" s="30">
        <v>0.617647</v>
      </c>
      <c r="M21" s="30">
        <v>0.201191</v>
      </c>
      <c r="N21" s="30">
        <v>0.275789</v>
      </c>
      <c r="O21" s="30">
        <v>0.736569</v>
      </c>
      <c r="P21" s="30">
        <v>0.774722</v>
      </c>
      <c r="Q21" s="30">
        <v>0.701625</v>
      </c>
      <c r="R21" s="30">
        <v>0.621788</v>
      </c>
      <c r="S21" s="30">
        <v>0.370144</v>
      </c>
      <c r="T21" s="30">
        <v>0.960329</v>
      </c>
      <c r="U21" s="30">
        <v>0.92546</v>
      </c>
      <c r="V21" s="30">
        <v>0.917154</v>
      </c>
      <c r="W21" s="31">
        <v>0.860211</v>
      </c>
      <c r="X21" s="30">
        <v>327</v>
      </c>
      <c r="Y21" s="30">
        <v>261</v>
      </c>
      <c r="Z21" s="30">
        <v>0.5</v>
      </c>
      <c r="AA21" s="30">
        <v>0.650602</v>
      </c>
      <c r="AB21" s="30">
        <v>342.825</v>
      </c>
    </row>
    <row r="22" spans="1:28">
      <c r="A22" s="27"/>
      <c r="B22" s="27"/>
      <c r="C22" s="26" t="s">
        <v>54</v>
      </c>
      <c r="D22" s="22">
        <v>0.988119</v>
      </c>
      <c r="E22" s="22">
        <v>0.519481</v>
      </c>
      <c r="F22" s="22">
        <v>0.008943</v>
      </c>
      <c r="G22" s="22">
        <v>0.017534</v>
      </c>
      <c r="H22" s="22">
        <v>0.520202</v>
      </c>
      <c r="I22" s="22">
        <v>1</v>
      </c>
      <c r="J22" s="22">
        <v>0.631818</v>
      </c>
      <c r="K22" s="22">
        <v>0.002972</v>
      </c>
      <c r="L22" s="22">
        <v>0.520202</v>
      </c>
      <c r="M22" s="22">
        <v>0.200927</v>
      </c>
      <c r="N22" s="22">
        <v>0.266881</v>
      </c>
      <c r="O22" s="22">
        <v>0.650603</v>
      </c>
      <c r="P22" s="22">
        <v>0.85762</v>
      </c>
      <c r="Q22" s="22">
        <v>0.709921</v>
      </c>
      <c r="R22" s="22">
        <v>0.666944</v>
      </c>
      <c r="S22" s="22">
        <v>0.438956</v>
      </c>
      <c r="T22" s="22">
        <v>0.956693</v>
      </c>
      <c r="U22" s="22">
        <v>0.931598</v>
      </c>
      <c r="V22" s="22">
        <v>0.913712</v>
      </c>
      <c r="W22" s="22">
        <v>0.869295</v>
      </c>
      <c r="X22" s="22">
        <v>203</v>
      </c>
      <c r="Y22" s="22">
        <v>359.5</v>
      </c>
      <c r="Z22" s="22">
        <v>0</v>
      </c>
      <c r="AA22" s="22">
        <v>1.277108</v>
      </c>
      <c r="AB22" s="22">
        <v>105.928241</v>
      </c>
    </row>
    <row r="23" spans="1:28">
      <c r="A23" s="27"/>
      <c r="B23" s="27"/>
      <c r="C23" s="26" t="s">
        <v>55</v>
      </c>
      <c r="D23" s="32">
        <v>0.984438</v>
      </c>
      <c r="E23" s="32">
        <v>0.5</v>
      </c>
      <c r="F23" s="32">
        <v>0.011419</v>
      </c>
      <c r="G23" s="32">
        <v>0.022327</v>
      </c>
      <c r="H23" s="32">
        <v>0.625874</v>
      </c>
      <c r="I23" s="32">
        <v>1</v>
      </c>
      <c r="J23" s="32">
        <v>0.769841</v>
      </c>
      <c r="K23" s="32">
        <v>0.004947</v>
      </c>
      <c r="L23" s="32">
        <v>0.625874</v>
      </c>
      <c r="M23" s="32">
        <v>0.201227</v>
      </c>
      <c r="N23" s="32">
        <v>0.304526</v>
      </c>
      <c r="O23" s="32">
        <v>0.590213</v>
      </c>
      <c r="P23" s="32">
        <v>0.909403</v>
      </c>
      <c r="Q23" s="32">
        <v>0.714852</v>
      </c>
      <c r="R23" s="32">
        <v>0.649412</v>
      </c>
      <c r="S23" s="32">
        <v>0.421395</v>
      </c>
      <c r="T23" s="32">
        <v>0.94349</v>
      </c>
      <c r="U23" s="32">
        <v>0.903766</v>
      </c>
      <c r="V23" s="32">
        <v>0.899583</v>
      </c>
      <c r="W23" s="33">
        <v>0.845929</v>
      </c>
      <c r="X23" s="32">
        <v>331</v>
      </c>
      <c r="Y23" s="32">
        <v>170.5</v>
      </c>
      <c r="Z23" s="32">
        <v>0.5</v>
      </c>
      <c r="AA23" s="32">
        <v>0.698795</v>
      </c>
      <c r="AB23" s="32">
        <v>208.155882</v>
      </c>
    </row>
    <row r="24" spans="1:28">
      <c r="A24" s="27"/>
      <c r="B24" s="27"/>
      <c r="C24" s="26" t="s">
        <v>56</v>
      </c>
      <c r="D24" s="22">
        <v>0.992805</v>
      </c>
      <c r="E24" s="22">
        <v>0.538462</v>
      </c>
      <c r="F24" s="22">
        <v>0.001491</v>
      </c>
      <c r="G24" s="22">
        <v>0.002965</v>
      </c>
      <c r="H24" s="22">
        <v>0.625</v>
      </c>
      <c r="I24" s="22">
        <v>1</v>
      </c>
      <c r="J24" s="22">
        <v>0.7</v>
      </c>
      <c r="K24" s="22">
        <v>0.002973</v>
      </c>
      <c r="L24" s="22">
        <v>0.625</v>
      </c>
      <c r="M24" s="22">
        <v>0.201192</v>
      </c>
      <c r="N24" s="22">
        <v>0.279126</v>
      </c>
      <c r="O24" s="22">
        <v>0.719462</v>
      </c>
      <c r="P24" s="22">
        <v>0.727235</v>
      </c>
      <c r="Q24" s="22">
        <v>0.670222</v>
      </c>
      <c r="R24" s="22">
        <v>0.648338</v>
      </c>
      <c r="S24" s="22">
        <v>0.479436</v>
      </c>
      <c r="T24" s="22">
        <v>0.908622</v>
      </c>
      <c r="U24" s="22">
        <v>0.886414</v>
      </c>
      <c r="V24" s="22">
        <v>0.87935</v>
      </c>
      <c r="W24" s="25">
        <v>0.845374</v>
      </c>
      <c r="X24" s="22">
        <v>111</v>
      </c>
      <c r="Y24" s="22">
        <v>485</v>
      </c>
      <c r="Z24" s="22">
        <v>0</v>
      </c>
      <c r="AA24" s="22">
        <v>0.481928</v>
      </c>
      <c r="AB24" s="22">
        <v>212.875</v>
      </c>
    </row>
    <row r="25" spans="1:28">
      <c r="A25" s="27"/>
      <c r="B25" s="27"/>
      <c r="C25" s="26" t="s">
        <v>57</v>
      </c>
      <c r="D25" s="22">
        <v>0.987784</v>
      </c>
      <c r="E25" s="22">
        <v>0.604167</v>
      </c>
      <c r="F25" s="22">
        <v>0.008434</v>
      </c>
      <c r="G25" s="22">
        <v>0.016473</v>
      </c>
      <c r="H25" s="22">
        <v>0.638095</v>
      </c>
      <c r="I25" s="22">
        <v>1</v>
      </c>
      <c r="J25" s="22">
        <v>0.767025</v>
      </c>
      <c r="K25" s="22">
        <v>0.00494</v>
      </c>
      <c r="L25" s="22">
        <v>0.638095</v>
      </c>
      <c r="M25" s="22">
        <v>0.200973</v>
      </c>
      <c r="N25" s="22">
        <v>0.301952</v>
      </c>
      <c r="O25" s="22">
        <v>0.739007</v>
      </c>
      <c r="P25" s="22">
        <v>0.808393</v>
      </c>
      <c r="Q25" s="22">
        <v>0.756488</v>
      </c>
      <c r="R25" s="22">
        <v>0.63204</v>
      </c>
      <c r="S25" s="22">
        <v>0.376775</v>
      </c>
      <c r="T25" s="22">
        <v>0.945223</v>
      </c>
      <c r="U25" s="22">
        <v>0.905375</v>
      </c>
      <c r="V25" s="22">
        <v>0.898021</v>
      </c>
      <c r="W25" s="25">
        <v>0.838615</v>
      </c>
      <c r="X25" s="22">
        <v>353</v>
      </c>
      <c r="Y25" s="22">
        <v>465</v>
      </c>
      <c r="Z25" s="22">
        <v>0.5</v>
      </c>
      <c r="AA25" s="22">
        <v>1.228916</v>
      </c>
      <c r="AB25" s="22">
        <v>118.704849</v>
      </c>
    </row>
    <row r="26" spans="1:28">
      <c r="A26" s="27"/>
      <c r="B26" s="27"/>
      <c r="C26" s="26" t="s">
        <v>58</v>
      </c>
      <c r="D26" s="22">
        <v>1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0.684084</v>
      </c>
      <c r="S26" s="22">
        <v>0.509764</v>
      </c>
      <c r="T26" s="22">
        <v>0.96826</v>
      </c>
      <c r="U26" s="22">
        <v>0.940913</v>
      </c>
      <c r="V26" s="22">
        <v>0.925661</v>
      </c>
      <c r="W26" s="25">
        <v>0.880437</v>
      </c>
      <c r="X26" s="22" t="s">
        <v>0</v>
      </c>
      <c r="Y26" s="22" t="s">
        <v>0</v>
      </c>
      <c r="Z26" s="22">
        <v>0</v>
      </c>
      <c r="AA26" s="22">
        <v>0</v>
      </c>
      <c r="AB26" s="22" t="s">
        <v>0</v>
      </c>
    </row>
    <row r="27" spans="1:28">
      <c r="A27" s="27"/>
      <c r="B27" s="27"/>
      <c r="C27" s="26" t="s">
        <v>59</v>
      </c>
      <c r="D27" s="22">
        <v>0.477075</v>
      </c>
      <c r="E27" s="22">
        <v>0.72089</v>
      </c>
      <c r="F27" s="22">
        <v>0.585546</v>
      </c>
      <c r="G27" s="22">
        <v>0.594795</v>
      </c>
      <c r="H27" s="22">
        <v>0.5875</v>
      </c>
      <c r="I27" s="22">
        <v>1</v>
      </c>
      <c r="J27" s="22">
        <v>0.717172</v>
      </c>
      <c r="K27" s="22">
        <v>0.308981</v>
      </c>
      <c r="L27" s="22">
        <v>0.5875</v>
      </c>
      <c r="M27" s="22">
        <v>0.271273</v>
      </c>
      <c r="N27" s="22">
        <v>0.352292</v>
      </c>
      <c r="O27" s="22">
        <v>0.783556</v>
      </c>
      <c r="P27" s="22">
        <v>0.967893</v>
      </c>
      <c r="Q27" s="22">
        <v>0.857303</v>
      </c>
      <c r="R27" s="22">
        <v>0.66286</v>
      </c>
      <c r="S27" s="22">
        <v>0.441989</v>
      </c>
      <c r="T27" s="22">
        <v>0.954194</v>
      </c>
      <c r="U27" s="22">
        <v>0.928572</v>
      </c>
      <c r="V27" s="22">
        <v>0.894559</v>
      </c>
      <c r="W27" s="25">
        <v>0.849209</v>
      </c>
      <c r="X27" s="22">
        <v>432</v>
      </c>
      <c r="Y27" s="22">
        <v>145</v>
      </c>
      <c r="Z27" s="22">
        <v>0.5</v>
      </c>
      <c r="AA27" s="22">
        <v>1.638554</v>
      </c>
      <c r="AB27" s="22">
        <v>91.5</v>
      </c>
    </row>
    <row r="28" spans="1:28">
      <c r="A28" s="27"/>
      <c r="B28" s="27"/>
      <c r="C28" s="26" t="s">
        <v>60</v>
      </c>
      <c r="D28" s="22">
        <v>0.980924</v>
      </c>
      <c r="E28" s="22">
        <v>0.616026</v>
      </c>
      <c r="F28" s="22">
        <v>0.015883</v>
      </c>
      <c r="G28" s="22">
        <v>0.030653</v>
      </c>
      <c r="H28" s="22">
        <v>0.627211</v>
      </c>
      <c r="I28" s="22">
        <v>1</v>
      </c>
      <c r="J28" s="22">
        <v>0.743697</v>
      </c>
      <c r="K28" s="22">
        <v>0.001982</v>
      </c>
      <c r="L28" s="22">
        <v>0.627211</v>
      </c>
      <c r="M28" s="22">
        <v>0.200794</v>
      </c>
      <c r="N28" s="22">
        <v>0.295314</v>
      </c>
      <c r="O28" s="22">
        <v>0.730615</v>
      </c>
      <c r="P28" s="22">
        <v>0.903086</v>
      </c>
      <c r="Q28" s="22">
        <v>0.793031</v>
      </c>
      <c r="R28" s="22">
        <v>0.667612</v>
      </c>
      <c r="S28" s="22">
        <v>0.454871</v>
      </c>
      <c r="T28" s="22">
        <v>0.955772</v>
      </c>
      <c r="U28" s="22">
        <v>0.927445</v>
      </c>
      <c r="V28" s="22">
        <v>0.91259</v>
      </c>
      <c r="W28" s="25">
        <v>0.866093</v>
      </c>
      <c r="X28" s="22">
        <v>328</v>
      </c>
      <c r="Y28" s="22">
        <v>292.5</v>
      </c>
      <c r="Z28" s="22">
        <v>0.5</v>
      </c>
      <c r="AA28" s="22">
        <v>2.60241</v>
      </c>
      <c r="AB28" s="22">
        <v>53.821581</v>
      </c>
    </row>
    <row r="29" spans="1:28">
      <c r="A29" s="27"/>
      <c r="B29" s="27"/>
      <c r="C29" s="26" t="s">
        <v>61</v>
      </c>
      <c r="D29" s="22">
        <v>0.97992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0.744312</v>
      </c>
      <c r="S29" s="22">
        <v>0.435639</v>
      </c>
      <c r="T29" s="22">
        <v>0.943127</v>
      </c>
      <c r="U29" s="22">
        <v>0.890223</v>
      </c>
      <c r="V29" s="22">
        <v>0.909651</v>
      </c>
      <c r="W29" s="25">
        <v>0.828028</v>
      </c>
      <c r="X29" s="22" t="s">
        <v>0</v>
      </c>
      <c r="Y29" s="22" t="s">
        <v>0</v>
      </c>
      <c r="Z29" s="22">
        <v>0</v>
      </c>
      <c r="AA29" s="22">
        <v>0.024096</v>
      </c>
      <c r="AB29" s="22" t="s">
        <v>0</v>
      </c>
    </row>
    <row r="30" spans="1:28">
      <c r="A30" s="27"/>
      <c r="B30" s="27"/>
      <c r="C30" s="26" t="s">
        <v>62</v>
      </c>
      <c r="D30" s="22">
        <v>1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0.621401</v>
      </c>
      <c r="S30" s="22">
        <v>0.389412</v>
      </c>
      <c r="T30" s="22">
        <v>0.908815</v>
      </c>
      <c r="U30" s="22">
        <v>0.88591</v>
      </c>
      <c r="V30" s="22">
        <v>0.876022</v>
      </c>
      <c r="W30" s="25">
        <v>0.833766</v>
      </c>
      <c r="X30" s="22" t="s">
        <v>0</v>
      </c>
      <c r="Y30" s="22" t="s">
        <v>0</v>
      </c>
      <c r="Z30" s="22">
        <v>0</v>
      </c>
      <c r="AA30" s="22">
        <v>0</v>
      </c>
      <c r="AB30" s="22" t="s">
        <v>0</v>
      </c>
    </row>
    <row r="31" spans="1:28">
      <c r="A31" s="27"/>
      <c r="B31" s="27"/>
      <c r="C31" s="26" t="s">
        <v>63</v>
      </c>
      <c r="D31" s="22">
        <v>0.995817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0.717672</v>
      </c>
      <c r="S31" s="22">
        <v>0.536893</v>
      </c>
      <c r="T31" s="22">
        <v>0.962007</v>
      </c>
      <c r="U31" s="22">
        <v>0.934619</v>
      </c>
      <c r="V31" s="22">
        <v>0.909402</v>
      </c>
      <c r="W31" s="25">
        <v>0.85798</v>
      </c>
      <c r="X31" s="22" t="s">
        <v>0</v>
      </c>
      <c r="Y31" s="22" t="s">
        <v>0</v>
      </c>
      <c r="Z31" s="22">
        <v>0</v>
      </c>
      <c r="AA31" s="22">
        <v>0.024096</v>
      </c>
      <c r="AB31" s="22" t="s">
        <v>0</v>
      </c>
    </row>
    <row r="32" spans="1:28">
      <c r="A32" s="27"/>
      <c r="B32" s="27"/>
      <c r="C32" s="26" t="s">
        <v>64</v>
      </c>
      <c r="D32" s="22">
        <v>0.997657</v>
      </c>
      <c r="E32" s="22">
        <v>0.5</v>
      </c>
      <c r="F32" s="22">
        <v>0.000991</v>
      </c>
      <c r="G32" s="22">
        <v>0.001978</v>
      </c>
      <c r="H32" s="22">
        <v>0.5</v>
      </c>
      <c r="I32" s="22">
        <v>0.5</v>
      </c>
      <c r="J32" s="22">
        <v>0.5</v>
      </c>
      <c r="K32" s="22">
        <v>0.001978</v>
      </c>
      <c r="L32" s="22">
        <v>0.5</v>
      </c>
      <c r="M32" s="22">
        <v>0.100793</v>
      </c>
      <c r="N32" s="22">
        <v>0.167766</v>
      </c>
      <c r="O32" s="22">
        <v>0.5</v>
      </c>
      <c r="P32" s="22">
        <v>0.362048</v>
      </c>
      <c r="Q32" s="22">
        <v>0.419986</v>
      </c>
      <c r="R32" s="22">
        <v>0.639995</v>
      </c>
      <c r="S32" s="22">
        <v>0.395068</v>
      </c>
      <c r="T32" s="22">
        <v>0.964468</v>
      </c>
      <c r="U32" s="22">
        <v>0.936328</v>
      </c>
      <c r="V32" s="22">
        <v>0.908929</v>
      </c>
      <c r="W32" s="25">
        <v>0.856129</v>
      </c>
      <c r="X32" s="22" t="s">
        <v>0</v>
      </c>
      <c r="Y32" s="22">
        <v>335</v>
      </c>
      <c r="Z32" s="22">
        <v>0</v>
      </c>
      <c r="AA32" s="22">
        <v>0.144578</v>
      </c>
      <c r="AB32" s="22">
        <v>177.166667</v>
      </c>
    </row>
    <row r="33" spans="1:28">
      <c r="A33" s="27"/>
      <c r="B33" s="22" t="s">
        <v>65</v>
      </c>
      <c r="C33" s="26" t="s">
        <v>66</v>
      </c>
      <c r="D33" s="22">
        <v>0.972892</v>
      </c>
      <c r="E33" s="22">
        <v>0.705479</v>
      </c>
      <c r="F33" s="22">
        <v>0.030787</v>
      </c>
      <c r="G33" s="22">
        <v>0.058585</v>
      </c>
      <c r="H33" s="22">
        <v>0.688679</v>
      </c>
      <c r="I33" s="22">
        <v>1</v>
      </c>
      <c r="J33" s="22">
        <v>0.773973</v>
      </c>
      <c r="K33" s="22">
        <v>0.006899</v>
      </c>
      <c r="L33" s="22">
        <v>0.688679</v>
      </c>
      <c r="M33" s="22">
        <v>0.201148</v>
      </c>
      <c r="N33" s="22">
        <v>0.298661</v>
      </c>
      <c r="O33" s="22">
        <v>0.78661</v>
      </c>
      <c r="P33" s="22">
        <v>0.964286</v>
      </c>
      <c r="Q33" s="22">
        <v>0.849778</v>
      </c>
      <c r="R33" s="22">
        <v>0.654621</v>
      </c>
      <c r="S33" s="22">
        <v>0.404125</v>
      </c>
      <c r="T33" s="22">
        <v>0.953169</v>
      </c>
      <c r="U33" s="22">
        <v>0.922445</v>
      </c>
      <c r="V33" s="22">
        <v>0.906977</v>
      </c>
      <c r="W33" s="25">
        <v>0.854614</v>
      </c>
      <c r="X33" s="22">
        <v>431</v>
      </c>
      <c r="Y33" s="22">
        <v>85</v>
      </c>
      <c r="Z33" s="22">
        <v>0.5</v>
      </c>
      <c r="AA33" s="22">
        <v>2.746988</v>
      </c>
      <c r="AB33" s="22">
        <v>52.251555</v>
      </c>
    </row>
    <row r="34" spans="1:28">
      <c r="A34" s="27"/>
      <c r="B34" s="28"/>
      <c r="C34" s="26" t="s">
        <v>67</v>
      </c>
      <c r="D34" s="22">
        <v>0.979418</v>
      </c>
      <c r="E34" s="22">
        <v>0.600252</v>
      </c>
      <c r="F34" s="22">
        <v>0.019839</v>
      </c>
      <c r="G34" s="22">
        <v>0.037813</v>
      </c>
      <c r="H34" s="22">
        <v>0.667442</v>
      </c>
      <c r="I34" s="22">
        <v>1</v>
      </c>
      <c r="J34" s="22">
        <v>0.792929</v>
      </c>
      <c r="K34" s="22">
        <v>0.004942</v>
      </c>
      <c r="L34" s="22">
        <v>0.667442</v>
      </c>
      <c r="M34" s="22">
        <v>0.200982</v>
      </c>
      <c r="N34" s="22">
        <v>0.306708</v>
      </c>
      <c r="O34" s="22">
        <v>0.693328</v>
      </c>
      <c r="P34" s="22">
        <v>0.897629</v>
      </c>
      <c r="Q34" s="22">
        <v>0.780112</v>
      </c>
      <c r="R34" s="22">
        <v>0.671537</v>
      </c>
      <c r="S34" s="22">
        <v>0.42234</v>
      </c>
      <c r="T34" s="22">
        <v>0.95988</v>
      </c>
      <c r="U34" s="22">
        <v>0.926371</v>
      </c>
      <c r="V34" s="22">
        <v>0.919763</v>
      </c>
      <c r="W34" s="25">
        <v>0.865317</v>
      </c>
      <c r="X34" s="22">
        <v>331</v>
      </c>
      <c r="Y34" s="22">
        <v>280.5</v>
      </c>
      <c r="Z34" s="22">
        <v>0.5</v>
      </c>
      <c r="AA34" s="22">
        <v>2.144578</v>
      </c>
      <c r="AB34" s="22">
        <v>63.811351</v>
      </c>
    </row>
    <row r="35" spans="1:28">
      <c r="A35" s="27"/>
      <c r="B35" s="22" t="s">
        <v>68</v>
      </c>
      <c r="C35" s="26" t="s">
        <v>69</v>
      </c>
      <c r="D35" s="22">
        <v>0.978246</v>
      </c>
      <c r="E35" s="22">
        <v>0.647154</v>
      </c>
      <c r="F35" s="22">
        <v>0.017379</v>
      </c>
      <c r="G35" s="22">
        <v>0.033646</v>
      </c>
      <c r="H35" s="22">
        <v>0.648366</v>
      </c>
      <c r="I35" s="22">
        <v>1</v>
      </c>
      <c r="J35" s="22">
        <v>0.747144</v>
      </c>
      <c r="K35" s="22">
        <v>0.003957</v>
      </c>
      <c r="L35" s="22">
        <v>0.648366</v>
      </c>
      <c r="M35" s="22">
        <v>0.200869</v>
      </c>
      <c r="N35" s="22">
        <v>0.293902</v>
      </c>
      <c r="O35" s="22">
        <v>0.754729</v>
      </c>
      <c r="P35" s="22">
        <v>0.88762</v>
      </c>
      <c r="Q35" s="22">
        <v>0.795164</v>
      </c>
      <c r="R35" s="22">
        <v>0.676589</v>
      </c>
      <c r="S35" s="22">
        <v>0.458272</v>
      </c>
      <c r="T35" s="22">
        <v>0.958955</v>
      </c>
      <c r="U35" s="22">
        <v>0.930602</v>
      </c>
      <c r="V35" s="22">
        <v>0.919479</v>
      </c>
      <c r="W35" s="25">
        <v>0.872162</v>
      </c>
      <c r="X35" s="22">
        <v>328</v>
      </c>
      <c r="Y35" s="22">
        <v>259</v>
      </c>
      <c r="Z35" s="22">
        <v>0.5</v>
      </c>
      <c r="AA35" s="22">
        <v>2.722892</v>
      </c>
      <c r="AB35" s="22">
        <v>52.31746</v>
      </c>
    </row>
    <row r="36" spans="1:28">
      <c r="A36" s="27"/>
      <c r="B36" s="27"/>
      <c r="C36" s="26" t="s">
        <v>70</v>
      </c>
      <c r="D36" s="22">
        <v>0.980254</v>
      </c>
      <c r="E36" s="22">
        <v>0.660714</v>
      </c>
      <c r="F36" s="22">
        <v>0.023308</v>
      </c>
      <c r="G36" s="22">
        <v>0.044513</v>
      </c>
      <c r="H36" s="22">
        <v>0.6133</v>
      </c>
      <c r="I36" s="22">
        <v>1</v>
      </c>
      <c r="J36" s="22">
        <v>0.75947</v>
      </c>
      <c r="K36" s="22">
        <v>0.007893</v>
      </c>
      <c r="L36" s="22">
        <v>0.6133</v>
      </c>
      <c r="M36" s="22">
        <v>0.201688</v>
      </c>
      <c r="N36" s="22">
        <v>0.303283</v>
      </c>
      <c r="O36" s="22">
        <v>0.723452</v>
      </c>
      <c r="P36" s="22">
        <v>0.902033</v>
      </c>
      <c r="Q36" s="22">
        <v>0.80293</v>
      </c>
      <c r="R36" s="22">
        <v>0.677472</v>
      </c>
      <c r="S36" s="22">
        <v>0.456758</v>
      </c>
      <c r="T36" s="22">
        <v>0.947983</v>
      </c>
      <c r="U36" s="22">
        <v>0.912919</v>
      </c>
      <c r="V36" s="22">
        <v>0.914263</v>
      </c>
      <c r="W36" s="25">
        <v>0.861377</v>
      </c>
      <c r="X36" s="22">
        <v>51</v>
      </c>
      <c r="Y36" s="22">
        <v>269.5</v>
      </c>
      <c r="Z36" s="22">
        <v>0</v>
      </c>
      <c r="AA36" s="22">
        <v>1.518072</v>
      </c>
      <c r="AB36" s="22">
        <v>90.619589</v>
      </c>
    </row>
    <row r="37" spans="1:28">
      <c r="A37" s="27"/>
      <c r="B37" s="27"/>
      <c r="C37" s="26" t="s">
        <v>71</v>
      </c>
      <c r="D37" s="22">
        <v>0.986111</v>
      </c>
      <c r="E37" s="22">
        <v>0.59375</v>
      </c>
      <c r="F37" s="22">
        <v>0.008438</v>
      </c>
      <c r="G37" s="22">
        <v>0.016516</v>
      </c>
      <c r="H37" s="22">
        <v>0.595238</v>
      </c>
      <c r="I37" s="22">
        <v>1</v>
      </c>
      <c r="J37" s="22">
        <v>0.711538</v>
      </c>
      <c r="K37" s="22">
        <v>0.003956</v>
      </c>
      <c r="L37" s="22">
        <v>0.595238</v>
      </c>
      <c r="M37" s="22">
        <v>0.200905</v>
      </c>
      <c r="N37" s="22">
        <v>0.288116</v>
      </c>
      <c r="O37" s="22">
        <v>0.712408</v>
      </c>
      <c r="P37" s="22">
        <v>0.895188</v>
      </c>
      <c r="Q37" s="22">
        <v>0.77702</v>
      </c>
      <c r="R37" s="22">
        <v>0.657041</v>
      </c>
      <c r="S37" s="22">
        <v>0.420284</v>
      </c>
      <c r="T37" s="22">
        <v>0.953135</v>
      </c>
      <c r="U37" s="22">
        <v>0.919963</v>
      </c>
      <c r="V37" s="22">
        <v>0.910984</v>
      </c>
      <c r="W37" s="25">
        <v>0.858744</v>
      </c>
      <c r="X37" s="22">
        <v>203</v>
      </c>
      <c r="Y37" s="22">
        <v>309.5</v>
      </c>
      <c r="Z37" s="22">
        <v>0</v>
      </c>
      <c r="AA37" s="22">
        <v>1.614458</v>
      </c>
      <c r="AB37" s="22">
        <v>83.518975</v>
      </c>
    </row>
    <row r="38" spans="1:28">
      <c r="A38" s="27"/>
      <c r="B38" s="28"/>
      <c r="C38" s="26" t="s">
        <v>72</v>
      </c>
      <c r="D38" s="22">
        <v>0.983768</v>
      </c>
      <c r="E38" s="22">
        <v>0.647585</v>
      </c>
      <c r="F38" s="22">
        <v>0.013899</v>
      </c>
      <c r="G38" s="22">
        <v>0.026997</v>
      </c>
      <c r="H38" s="22">
        <v>0.664663</v>
      </c>
      <c r="I38" s="22">
        <v>1</v>
      </c>
      <c r="J38" s="22">
        <v>0.768889</v>
      </c>
      <c r="K38" s="22">
        <v>0.002966</v>
      </c>
      <c r="L38" s="22">
        <v>0.664663</v>
      </c>
      <c r="M38" s="22">
        <v>0.200886</v>
      </c>
      <c r="N38" s="22">
        <v>0.299379</v>
      </c>
      <c r="O38" s="22">
        <v>0.741029</v>
      </c>
      <c r="P38" s="22">
        <v>0.859081</v>
      </c>
      <c r="Q38" s="22">
        <v>0.780873</v>
      </c>
      <c r="R38" s="22">
        <v>0.644899</v>
      </c>
      <c r="S38" s="22">
        <v>0.390425</v>
      </c>
      <c r="T38" s="22">
        <v>0.943797</v>
      </c>
      <c r="U38" s="22">
        <v>0.91397</v>
      </c>
      <c r="V38" s="22">
        <v>0.903385</v>
      </c>
      <c r="W38" s="25">
        <v>0.850365</v>
      </c>
      <c r="X38" s="22">
        <v>275</v>
      </c>
      <c r="Y38" s="22">
        <v>285.5</v>
      </c>
      <c r="Z38" s="22">
        <v>0</v>
      </c>
      <c r="AA38" s="22">
        <v>2</v>
      </c>
      <c r="AB38" s="22">
        <v>67.592903</v>
      </c>
    </row>
    <row r="39" spans="1:28">
      <c r="A39" s="28"/>
      <c r="B39" s="22" t="s">
        <v>73</v>
      </c>
      <c r="C39" s="26" t="s">
        <v>74</v>
      </c>
      <c r="D39" s="22">
        <v>0.942938</v>
      </c>
      <c r="E39" s="22">
        <v>1</v>
      </c>
      <c r="F39" s="22">
        <v>0.052186</v>
      </c>
      <c r="G39" s="22">
        <v>0.098084</v>
      </c>
      <c r="H39" s="22">
        <v>1</v>
      </c>
      <c r="I39" s="22">
        <v>1</v>
      </c>
      <c r="J39" s="22">
        <v>1</v>
      </c>
      <c r="K39" s="22">
        <v>0.068006</v>
      </c>
      <c r="L39" s="22">
        <v>1</v>
      </c>
      <c r="M39" s="22">
        <v>0.218465</v>
      </c>
      <c r="N39" s="22">
        <v>0.358581</v>
      </c>
      <c r="O39" s="22">
        <v>1</v>
      </c>
      <c r="P39" s="22">
        <v>0.632122</v>
      </c>
      <c r="Q39" s="22">
        <v>0.772261</v>
      </c>
      <c r="R39" s="22">
        <v>0.810463</v>
      </c>
      <c r="S39" s="22">
        <v>0.65035</v>
      </c>
      <c r="T39" s="22">
        <v>0.975782</v>
      </c>
      <c r="U39" s="22">
        <v>0.951181</v>
      </c>
      <c r="V39" s="22">
        <v>0.940102</v>
      </c>
      <c r="W39" s="25">
        <v>0.896829</v>
      </c>
      <c r="X39" s="22" t="s">
        <v>0</v>
      </c>
      <c r="Y39" s="22">
        <v>394.5</v>
      </c>
      <c r="Z39" s="22">
        <v>0</v>
      </c>
      <c r="AA39" s="22">
        <v>0.53012</v>
      </c>
      <c r="AB39" s="22">
        <v>357.921569</v>
      </c>
    </row>
    <row r="40" spans="1:28">
      <c r="C40" s="29" t="s">
        <v>0</v>
      </c>
    </row>
    <row r="42" spans="1:28">
      <c r="A42" s="22" t="s">
        <v>0</v>
      </c>
      <c r="B42" s="22" t="s">
        <v>0</v>
      </c>
      <c r="C42" s="23" t="s">
        <v>0</v>
      </c>
      <c r="D42" s="24" t="s">
        <v>7</v>
      </c>
      <c r="E42" s="22" t="s">
        <v>8</v>
      </c>
      <c r="F42" s="22" t="s">
        <v>9</v>
      </c>
      <c r="G42" s="22" t="s">
        <v>10</v>
      </c>
      <c r="H42" s="22" t="s">
        <v>11</v>
      </c>
      <c r="I42" s="22" t="s">
        <v>12</v>
      </c>
      <c r="J42" s="22" t="s">
        <v>13</v>
      </c>
      <c r="K42" s="22" t="s">
        <v>14</v>
      </c>
      <c r="L42" s="22" t="s">
        <v>15</v>
      </c>
      <c r="M42" s="22" t="s">
        <v>16</v>
      </c>
      <c r="N42" s="22" t="s">
        <v>17</v>
      </c>
      <c r="O42" s="22" t="s">
        <v>18</v>
      </c>
      <c r="P42" s="22" t="s">
        <v>19</v>
      </c>
      <c r="Q42" s="22" t="s">
        <v>20</v>
      </c>
      <c r="R42" s="22" t="s">
        <v>21</v>
      </c>
      <c r="S42" s="22" t="s">
        <v>22</v>
      </c>
      <c r="T42" s="22" t="s">
        <v>23</v>
      </c>
      <c r="U42" s="22" t="s">
        <v>24</v>
      </c>
      <c r="V42" s="22" t="s">
        <v>25</v>
      </c>
      <c r="W42" s="25" t="s">
        <v>26</v>
      </c>
      <c r="X42" s="22" t="s">
        <v>27</v>
      </c>
      <c r="Y42" s="22" t="s">
        <v>28</v>
      </c>
      <c r="Z42" s="22" t="s">
        <v>29</v>
      </c>
      <c r="AA42" s="24" t="s">
        <v>30</v>
      </c>
      <c r="AB42" s="24" t="s">
        <v>31</v>
      </c>
    </row>
    <row r="43" spans="1:28">
      <c r="A43" s="22" t="s">
        <v>117</v>
      </c>
      <c r="B43" s="22" t="s">
        <v>33</v>
      </c>
      <c r="C43" s="26" t="s">
        <v>34</v>
      </c>
      <c r="D43" s="22">
        <v>1</v>
      </c>
      <c r="E43" s="22">
        <v>0.5</v>
      </c>
      <c r="F43" s="22">
        <v>0.000231</v>
      </c>
      <c r="G43" s="22">
        <v>0.000463</v>
      </c>
      <c r="H43" s="22">
        <v>0.5</v>
      </c>
      <c r="I43" s="22">
        <v>0.5</v>
      </c>
      <c r="J43" s="22">
        <v>0.5</v>
      </c>
      <c r="K43" s="22">
        <v>0.000231</v>
      </c>
      <c r="L43" s="22">
        <v>0.5</v>
      </c>
      <c r="M43" s="22">
        <v>0.100062</v>
      </c>
      <c r="N43" s="22">
        <v>0.166752</v>
      </c>
      <c r="O43" s="22">
        <v>0.5611</v>
      </c>
      <c r="P43" s="22">
        <v>0.470146</v>
      </c>
      <c r="Q43" s="22">
        <v>0.483243</v>
      </c>
      <c r="R43" s="22">
        <v>0.771694</v>
      </c>
      <c r="S43" s="22">
        <v>0.308653</v>
      </c>
      <c r="T43" s="22">
        <v>0.985046</v>
      </c>
      <c r="U43" s="22">
        <v>0.947567</v>
      </c>
      <c r="V43" s="22">
        <v>0.959468</v>
      </c>
      <c r="W43" s="25">
        <v>0.879648</v>
      </c>
      <c r="X43" s="22" t="s">
        <v>0</v>
      </c>
      <c r="Y43" s="22">
        <v>4577</v>
      </c>
      <c r="Z43" s="22">
        <v>0</v>
      </c>
      <c r="AA43" s="22">
        <v>0</v>
      </c>
      <c r="AB43" s="22" t="s">
        <v>0</v>
      </c>
    </row>
    <row r="44" spans="1:28">
      <c r="A44" s="27"/>
      <c r="B44" s="27"/>
      <c r="C44" s="26" t="s">
        <v>35</v>
      </c>
      <c r="D44" s="22">
        <v>0.970858</v>
      </c>
      <c r="E44" s="22">
        <v>0.670082</v>
      </c>
      <c r="F44" s="22">
        <v>0.02976</v>
      </c>
      <c r="G44" s="22">
        <v>0.056573</v>
      </c>
      <c r="H44" s="22">
        <v>0.782051</v>
      </c>
      <c r="I44" s="22">
        <v>1</v>
      </c>
      <c r="J44" s="22">
        <v>0.860656</v>
      </c>
      <c r="K44" s="22">
        <v>0.005644</v>
      </c>
      <c r="L44" s="22">
        <v>0.782051</v>
      </c>
      <c r="M44" s="22">
        <v>0.200341</v>
      </c>
      <c r="N44" s="22">
        <v>0.314721</v>
      </c>
      <c r="O44" s="22">
        <v>0.710919</v>
      </c>
      <c r="P44" s="22">
        <v>0.960239</v>
      </c>
      <c r="Q44" s="22">
        <v>0.785307</v>
      </c>
      <c r="R44" s="22">
        <v>0.809226</v>
      </c>
      <c r="S44" s="22">
        <v>0.436037</v>
      </c>
      <c r="T44" s="22">
        <v>0.986009</v>
      </c>
      <c r="U44" s="22">
        <v>0.952909</v>
      </c>
      <c r="V44" s="22">
        <v>0.961963</v>
      </c>
      <c r="W44" s="25">
        <v>0.895166</v>
      </c>
      <c r="X44" s="22" t="s">
        <v>0</v>
      </c>
      <c r="Y44" s="22">
        <v>177.5</v>
      </c>
      <c r="Z44" s="22">
        <v>0</v>
      </c>
      <c r="AA44" s="22">
        <v>2.035498</v>
      </c>
      <c r="AB44" s="22">
        <v>74.679245</v>
      </c>
    </row>
    <row r="45" spans="1:28">
      <c r="A45" s="27"/>
      <c r="B45" s="28"/>
      <c r="C45" s="26" t="s">
        <v>36</v>
      </c>
      <c r="D45" s="22">
        <v>0.630091</v>
      </c>
      <c r="E45" s="22">
        <v>0.791867</v>
      </c>
      <c r="F45" s="22">
        <v>0.377367</v>
      </c>
      <c r="G45" s="22">
        <v>0.509642</v>
      </c>
      <c r="H45" s="22">
        <v>0.911765</v>
      </c>
      <c r="I45" s="22">
        <v>1</v>
      </c>
      <c r="J45" s="22">
        <v>0.953459</v>
      </c>
      <c r="K45" s="22">
        <v>0.040462</v>
      </c>
      <c r="L45" s="22">
        <v>0.911514</v>
      </c>
      <c r="M45" s="22">
        <v>0.200888</v>
      </c>
      <c r="N45" s="22">
        <v>0.329134</v>
      </c>
      <c r="O45" s="22">
        <v>0.810476</v>
      </c>
      <c r="P45" s="22">
        <v>0.997992</v>
      </c>
      <c r="Q45" s="22">
        <v>0.890519</v>
      </c>
      <c r="R45" s="22">
        <v>0.80817</v>
      </c>
      <c r="S45" s="22">
        <v>0.370467</v>
      </c>
      <c r="T45" s="22">
        <v>0.986806</v>
      </c>
      <c r="U45" s="22">
        <v>0.950993</v>
      </c>
      <c r="V45" s="22">
        <v>0.963863</v>
      </c>
      <c r="W45" s="25">
        <v>0.888133</v>
      </c>
      <c r="X45" s="22">
        <v>432</v>
      </c>
      <c r="Y45" s="22">
        <v>0</v>
      </c>
      <c r="Z45" s="22">
        <v>0.5</v>
      </c>
      <c r="AA45" s="22">
        <v>12.546149</v>
      </c>
      <c r="AB45" s="22">
        <v>11.497229</v>
      </c>
    </row>
    <row r="46" spans="1:28">
      <c r="A46" s="27"/>
      <c r="B46" s="22" t="s">
        <v>37</v>
      </c>
      <c r="C46" s="26" t="s">
        <v>38</v>
      </c>
      <c r="D46" s="22">
        <v>1</v>
      </c>
      <c r="E46" s="22">
        <v>0.5</v>
      </c>
      <c r="F46" s="22">
        <v>0.000752</v>
      </c>
      <c r="G46" s="22">
        <v>0.001502</v>
      </c>
      <c r="H46" s="22">
        <v>0.5</v>
      </c>
      <c r="I46" s="22">
        <v>0.5</v>
      </c>
      <c r="J46" s="22">
        <v>0.5</v>
      </c>
      <c r="K46" s="22">
        <v>0.000925</v>
      </c>
      <c r="L46" s="22">
        <v>0.5</v>
      </c>
      <c r="M46" s="22">
        <v>0.1001</v>
      </c>
      <c r="N46" s="22">
        <v>0.166806</v>
      </c>
      <c r="O46" s="22">
        <v>0.540272</v>
      </c>
      <c r="P46" s="22">
        <v>0.45626</v>
      </c>
      <c r="Q46" s="22">
        <v>0.468582</v>
      </c>
      <c r="R46" s="22">
        <v>0.780511</v>
      </c>
      <c r="S46" s="22">
        <v>0.329817</v>
      </c>
      <c r="T46" s="22">
        <v>0.983758</v>
      </c>
      <c r="U46" s="22">
        <v>0.947242</v>
      </c>
      <c r="V46" s="22">
        <v>0.957629</v>
      </c>
      <c r="W46" s="25">
        <v>0.879916</v>
      </c>
      <c r="X46" s="22" t="s">
        <v>0</v>
      </c>
      <c r="Y46" s="22">
        <v>4993</v>
      </c>
      <c r="Z46" s="22">
        <v>0</v>
      </c>
      <c r="AA46" s="22">
        <v>0</v>
      </c>
      <c r="AB46" s="22" t="s">
        <v>0</v>
      </c>
    </row>
    <row r="47" spans="1:28">
      <c r="A47" s="27"/>
      <c r="B47" s="27"/>
      <c r="C47" s="26" t="s">
        <v>39</v>
      </c>
      <c r="D47" s="22">
        <v>1</v>
      </c>
      <c r="E47" s="22">
        <v>0.5</v>
      </c>
      <c r="F47" s="22">
        <v>0.001215</v>
      </c>
      <c r="G47" s="22">
        <v>0.002424</v>
      </c>
      <c r="H47" s="22">
        <v>0.5</v>
      </c>
      <c r="I47" s="22">
        <v>0.5</v>
      </c>
      <c r="J47" s="22">
        <v>0.5</v>
      </c>
      <c r="K47" s="22">
        <v>0.001156</v>
      </c>
      <c r="L47" s="22">
        <v>0.5</v>
      </c>
      <c r="M47" s="22">
        <v>0.100108</v>
      </c>
      <c r="N47" s="22">
        <v>0.166817</v>
      </c>
      <c r="O47" s="22">
        <v>0.564279</v>
      </c>
      <c r="P47" s="22">
        <v>0.544654</v>
      </c>
      <c r="Q47" s="22">
        <v>0.524515</v>
      </c>
      <c r="R47" s="22">
        <v>0.78848</v>
      </c>
      <c r="S47" s="22">
        <v>0.383073</v>
      </c>
      <c r="T47" s="22">
        <v>0.983678</v>
      </c>
      <c r="U47" s="22">
        <v>0.94868</v>
      </c>
      <c r="V47" s="22">
        <v>0.957532</v>
      </c>
      <c r="W47" s="25">
        <v>0.884887</v>
      </c>
      <c r="X47" s="22" t="s">
        <v>0</v>
      </c>
      <c r="Y47" s="22">
        <v>4540</v>
      </c>
      <c r="Z47" s="22">
        <v>0</v>
      </c>
      <c r="AA47" s="22">
        <v>0</v>
      </c>
      <c r="AB47" s="22" t="s">
        <v>0</v>
      </c>
    </row>
    <row r="48" spans="1:28">
      <c r="A48" s="27"/>
      <c r="B48" s="27"/>
      <c r="C48" s="26" t="s">
        <v>40</v>
      </c>
      <c r="D48" s="22">
        <v>1</v>
      </c>
      <c r="E48" s="22">
        <v>0.5</v>
      </c>
      <c r="F48" s="22">
        <v>0.018285</v>
      </c>
      <c r="G48" s="22">
        <v>0.03528</v>
      </c>
      <c r="H48" s="22">
        <v>0.5</v>
      </c>
      <c r="I48" s="22">
        <v>0.5</v>
      </c>
      <c r="J48" s="22">
        <v>0.5</v>
      </c>
      <c r="K48" s="22">
        <v>0.007238</v>
      </c>
      <c r="L48" s="22">
        <v>0.5</v>
      </c>
      <c r="M48" s="22">
        <v>0.101828</v>
      </c>
      <c r="N48" s="22">
        <v>0.169199</v>
      </c>
      <c r="O48" s="22">
        <v>0.561183</v>
      </c>
      <c r="P48" s="22">
        <v>0.555196</v>
      </c>
      <c r="Q48" s="22">
        <v>0.538667</v>
      </c>
      <c r="R48" s="22">
        <v>0.795711</v>
      </c>
      <c r="S48" s="22">
        <v>0.393249</v>
      </c>
      <c r="T48" s="22">
        <v>0.984459</v>
      </c>
      <c r="U48" s="22">
        <v>0.94852</v>
      </c>
      <c r="V48" s="22">
        <v>0.958905</v>
      </c>
      <c r="W48" s="25">
        <v>0.885193</v>
      </c>
      <c r="X48" s="22" t="s">
        <v>0</v>
      </c>
      <c r="Y48" s="22">
        <v>3756</v>
      </c>
      <c r="Z48" s="22">
        <v>0</v>
      </c>
      <c r="AA48" s="22">
        <v>0</v>
      </c>
      <c r="AB48" s="22" t="s">
        <v>0</v>
      </c>
    </row>
    <row r="49" spans="1:28">
      <c r="A49" s="27"/>
      <c r="B49" s="27"/>
      <c r="C49" s="26" t="s">
        <v>41</v>
      </c>
      <c r="D49" s="22">
        <v>0.211553</v>
      </c>
      <c r="E49" s="22">
        <v>0.850986</v>
      </c>
      <c r="F49" s="22">
        <v>0.74395</v>
      </c>
      <c r="G49" s="22">
        <v>0.788586</v>
      </c>
      <c r="H49" s="22">
        <v>0.944293</v>
      </c>
      <c r="I49" s="22">
        <v>1</v>
      </c>
      <c r="J49" s="22">
        <v>0.971334</v>
      </c>
      <c r="K49" s="22">
        <v>0.165782</v>
      </c>
      <c r="L49" s="22">
        <v>0.940137</v>
      </c>
      <c r="M49" s="22">
        <v>0.203636</v>
      </c>
      <c r="N49" s="22">
        <v>0.334735</v>
      </c>
      <c r="O49" s="22">
        <v>0.865677</v>
      </c>
      <c r="P49" s="22">
        <v>0.999142</v>
      </c>
      <c r="Q49" s="22">
        <v>0.925028</v>
      </c>
      <c r="R49" s="22">
        <v>0.796789</v>
      </c>
      <c r="S49" s="22">
        <v>0.423832</v>
      </c>
      <c r="T49" s="22">
        <v>0.984204</v>
      </c>
      <c r="U49" s="22">
        <v>0.950851</v>
      </c>
      <c r="V49" s="22">
        <v>0.958728</v>
      </c>
      <c r="W49" s="25">
        <v>0.890989</v>
      </c>
      <c r="X49" s="22">
        <v>236</v>
      </c>
      <c r="Y49" s="22">
        <v>13</v>
      </c>
      <c r="Z49" s="22">
        <v>0</v>
      </c>
      <c r="AA49" s="22">
        <v>7.205582</v>
      </c>
      <c r="AB49" s="22">
        <v>19.920407</v>
      </c>
    </row>
    <row r="50" spans="1:28">
      <c r="A50" s="27"/>
      <c r="B50" s="27"/>
      <c r="C50" s="26" t="s">
        <v>42</v>
      </c>
      <c r="D50" s="22">
        <v>1</v>
      </c>
      <c r="E50" s="22">
        <v>0.5</v>
      </c>
      <c r="F50" s="22">
        <v>0.00162</v>
      </c>
      <c r="G50" s="22">
        <v>0.00323</v>
      </c>
      <c r="H50" s="22">
        <v>0.5</v>
      </c>
      <c r="I50" s="22">
        <v>0.5</v>
      </c>
      <c r="J50" s="22">
        <v>0.5</v>
      </c>
      <c r="K50" s="22">
        <v>0.001387</v>
      </c>
      <c r="L50" s="22">
        <v>0.5</v>
      </c>
      <c r="M50" s="22">
        <v>0.100162</v>
      </c>
      <c r="N50" s="22">
        <v>0.166892</v>
      </c>
      <c r="O50" s="22">
        <v>0.562145</v>
      </c>
      <c r="P50" s="22">
        <v>0.512692</v>
      </c>
      <c r="Q50" s="22">
        <v>0.500405</v>
      </c>
      <c r="R50" s="22">
        <v>0.844232</v>
      </c>
      <c r="S50" s="22">
        <v>0.388141</v>
      </c>
      <c r="T50" s="22">
        <v>0.988794</v>
      </c>
      <c r="U50" s="22">
        <v>0.953442</v>
      </c>
      <c r="V50" s="22">
        <v>0.96797</v>
      </c>
      <c r="W50" s="25">
        <v>0.893476</v>
      </c>
      <c r="X50" s="22" t="s">
        <v>0</v>
      </c>
      <c r="Y50" s="22">
        <v>4991</v>
      </c>
      <c r="Z50" s="22">
        <v>0</v>
      </c>
      <c r="AA50" s="22">
        <v>0</v>
      </c>
      <c r="AB50" s="22" t="s">
        <v>0</v>
      </c>
    </row>
    <row r="51" spans="1:28">
      <c r="A51" s="27"/>
      <c r="B51" s="27"/>
      <c r="C51" s="26" t="s">
        <v>43</v>
      </c>
      <c r="D51" s="22">
        <v>1</v>
      </c>
      <c r="E51" s="22">
        <v>0.5</v>
      </c>
      <c r="F51" s="22">
        <v>0.000405</v>
      </c>
      <c r="G51" s="22">
        <v>0.000809</v>
      </c>
      <c r="H51" s="22">
        <v>0.5</v>
      </c>
      <c r="I51" s="22">
        <v>0.5</v>
      </c>
      <c r="J51" s="22">
        <v>0.5</v>
      </c>
      <c r="K51" s="22">
        <v>0.000809</v>
      </c>
      <c r="L51" s="22">
        <v>0.5</v>
      </c>
      <c r="M51" s="22">
        <v>0.100324</v>
      </c>
      <c r="N51" s="22">
        <v>0.167116</v>
      </c>
      <c r="O51" s="22">
        <v>0.547669</v>
      </c>
      <c r="P51" s="22">
        <v>0.47427</v>
      </c>
      <c r="Q51" s="22">
        <v>0.457989</v>
      </c>
      <c r="R51" s="22">
        <v>0.797113</v>
      </c>
      <c r="S51" s="22">
        <v>0.362916</v>
      </c>
      <c r="T51" s="22">
        <v>0.985941</v>
      </c>
      <c r="U51" s="22">
        <v>0.948733</v>
      </c>
      <c r="V51" s="22">
        <v>0.961816</v>
      </c>
      <c r="W51" s="25">
        <v>0.883062</v>
      </c>
      <c r="X51" s="22" t="s">
        <v>0</v>
      </c>
      <c r="Y51" s="22">
        <v>4994</v>
      </c>
      <c r="Z51" s="22">
        <v>0</v>
      </c>
      <c r="AA51" s="22">
        <v>0</v>
      </c>
      <c r="AB51" s="22" t="s">
        <v>0</v>
      </c>
    </row>
    <row r="52" spans="1:28">
      <c r="A52" s="27"/>
      <c r="B52" s="27"/>
      <c r="C52" s="29" t="s">
        <v>44</v>
      </c>
      <c r="D52" s="22">
        <v>0.993224</v>
      </c>
      <c r="E52" s="22">
        <v>0.727679</v>
      </c>
      <c r="F52" s="22">
        <v>0.008716</v>
      </c>
      <c r="G52" s="22">
        <v>0.017223</v>
      </c>
      <c r="H52" s="22">
        <v>0.719002</v>
      </c>
      <c r="I52" s="22">
        <v>1</v>
      </c>
      <c r="J52" s="22">
        <v>0.813889</v>
      </c>
      <c r="K52" s="22">
        <v>0.001754</v>
      </c>
      <c r="L52" s="22">
        <v>0.719002</v>
      </c>
      <c r="M52" s="22">
        <v>0.200212</v>
      </c>
      <c r="N52" s="22">
        <v>0.30695</v>
      </c>
      <c r="O52" s="22">
        <v>0.739942</v>
      </c>
      <c r="P52" s="22">
        <v>0.95281</v>
      </c>
      <c r="Q52" s="22">
        <v>0.818211</v>
      </c>
      <c r="R52" s="22">
        <v>0.820907</v>
      </c>
      <c r="S52" s="22">
        <v>0.430365</v>
      </c>
      <c r="T52" s="22">
        <v>0.986941</v>
      </c>
      <c r="U52" s="22">
        <v>0.951992</v>
      </c>
      <c r="V52" s="22">
        <v>0.964519</v>
      </c>
      <c r="W52" s="25">
        <v>0.892805</v>
      </c>
      <c r="X52" s="22">
        <v>236</v>
      </c>
      <c r="Y52" s="22">
        <v>70.5</v>
      </c>
      <c r="Z52" s="22">
        <v>0</v>
      </c>
      <c r="AA52" s="22">
        <v>0.873919</v>
      </c>
      <c r="AB52" s="22">
        <v>188.270563</v>
      </c>
    </row>
    <row r="53" spans="1:28">
      <c r="A53" s="27"/>
      <c r="B53" s="28"/>
      <c r="C53" s="26" t="s">
        <v>45</v>
      </c>
      <c r="D53" s="22">
        <v>1</v>
      </c>
      <c r="E53" s="22">
        <v>0.5</v>
      </c>
      <c r="F53" s="22">
        <v>0.000405</v>
      </c>
      <c r="G53" s="22">
        <v>0.000809</v>
      </c>
      <c r="H53" s="22">
        <v>0.5</v>
      </c>
      <c r="I53" s="22">
        <v>0.5</v>
      </c>
      <c r="J53" s="22">
        <v>0.5</v>
      </c>
      <c r="K53" s="22">
        <v>0.000809</v>
      </c>
      <c r="L53" s="22">
        <v>0.5</v>
      </c>
      <c r="M53" s="22">
        <v>0.100324</v>
      </c>
      <c r="N53" s="22">
        <v>0.167116</v>
      </c>
      <c r="O53" s="22">
        <v>0.552298</v>
      </c>
      <c r="P53" s="22">
        <v>0.47427</v>
      </c>
      <c r="Q53" s="22">
        <v>0.463398</v>
      </c>
      <c r="R53" s="22">
        <v>0.867961</v>
      </c>
      <c r="S53" s="22">
        <v>0.502436</v>
      </c>
      <c r="T53" s="22">
        <v>0.992136</v>
      </c>
      <c r="U53" s="22">
        <v>0.968914</v>
      </c>
      <c r="V53" s="22">
        <v>0.977883</v>
      </c>
      <c r="W53" s="25">
        <v>0.927516</v>
      </c>
      <c r="X53" s="22" t="s">
        <v>0</v>
      </c>
      <c r="Y53" s="22">
        <v>4994</v>
      </c>
      <c r="Z53" s="22">
        <v>0</v>
      </c>
      <c r="AA53" s="22">
        <v>0</v>
      </c>
      <c r="AB53" s="22" t="s">
        <v>0</v>
      </c>
    </row>
    <row r="54" spans="1:28">
      <c r="A54" s="27"/>
      <c r="B54" s="30" t="s">
        <v>46</v>
      </c>
      <c r="C54" s="26" t="s">
        <v>47</v>
      </c>
      <c r="D54" s="22">
        <v>0.683779</v>
      </c>
      <c r="E54" s="22">
        <v>0.94744</v>
      </c>
      <c r="F54" s="22">
        <v>0.321085</v>
      </c>
      <c r="G54" s="22">
        <v>0.477755</v>
      </c>
      <c r="H54" s="22">
        <v>0.892222</v>
      </c>
      <c r="I54" s="22">
        <v>1</v>
      </c>
      <c r="J54" s="22">
        <v>0.942749</v>
      </c>
      <c r="K54" s="22">
        <v>0.03999</v>
      </c>
      <c r="L54" s="22">
        <v>0.892222</v>
      </c>
      <c r="M54" s="22">
        <v>0.201398</v>
      </c>
      <c r="N54" s="22">
        <v>0.328542</v>
      </c>
      <c r="O54" s="22">
        <v>0.950018</v>
      </c>
      <c r="P54" s="22">
        <v>0.994583</v>
      </c>
      <c r="Q54" s="22">
        <v>0.971774</v>
      </c>
      <c r="R54" s="22">
        <v>0.894377</v>
      </c>
      <c r="S54" s="22">
        <v>0.540115</v>
      </c>
      <c r="T54" s="22">
        <v>0.994085</v>
      </c>
      <c r="U54" s="22">
        <v>0.966496</v>
      </c>
      <c r="V54" s="22">
        <v>0.983207</v>
      </c>
      <c r="W54" s="25">
        <v>0.924544</v>
      </c>
      <c r="X54" s="22">
        <v>235</v>
      </c>
      <c r="Y54" s="22">
        <v>69.5</v>
      </c>
      <c r="Z54" s="22">
        <v>0</v>
      </c>
      <c r="AA54" s="22">
        <v>6.291004</v>
      </c>
      <c r="AB54" s="22">
        <v>22.742</v>
      </c>
    </row>
    <row r="55" spans="1:28">
      <c r="A55" s="27"/>
      <c r="B55" s="27"/>
      <c r="C55" s="26" t="s">
        <v>48</v>
      </c>
      <c r="D55" s="22">
        <v>0.986932</v>
      </c>
      <c r="E55" s="22">
        <v>0.793847</v>
      </c>
      <c r="F55" s="22">
        <v>0.009578</v>
      </c>
      <c r="G55" s="22">
        <v>0.018918</v>
      </c>
      <c r="H55" s="22">
        <v>0.810894</v>
      </c>
      <c r="I55" s="22">
        <v>1</v>
      </c>
      <c r="J55" s="22">
        <v>0.889264</v>
      </c>
      <c r="K55" s="22">
        <v>0.001524</v>
      </c>
      <c r="L55" s="22">
        <v>0.810894</v>
      </c>
      <c r="M55" s="22">
        <v>0.200187</v>
      </c>
      <c r="N55" s="22">
        <v>0.319624</v>
      </c>
      <c r="O55" s="22">
        <v>0.802553</v>
      </c>
      <c r="P55" s="22">
        <v>0.966526</v>
      </c>
      <c r="Q55" s="22">
        <v>0.870991</v>
      </c>
      <c r="R55" s="22">
        <v>0.837378</v>
      </c>
      <c r="S55" s="22">
        <v>0.460257</v>
      </c>
      <c r="T55" s="22">
        <v>0.989492</v>
      </c>
      <c r="U55" s="22">
        <v>0.959925</v>
      </c>
      <c r="V55" s="22">
        <v>0.970775</v>
      </c>
      <c r="W55" s="25">
        <v>0.909464</v>
      </c>
      <c r="X55" s="22">
        <v>236</v>
      </c>
      <c r="Y55" s="22">
        <v>296</v>
      </c>
      <c r="Z55" s="22">
        <v>0</v>
      </c>
      <c r="AA55" s="22">
        <v>1.704455</v>
      </c>
      <c r="AB55" s="22">
        <v>85.05161</v>
      </c>
    </row>
    <row r="56" spans="1:28">
      <c r="A56" s="27"/>
      <c r="B56" s="27"/>
      <c r="C56" s="26" t="s">
        <v>49</v>
      </c>
      <c r="D56" s="22">
        <v>0.39056</v>
      </c>
      <c r="E56" s="22">
        <v>0.845757</v>
      </c>
      <c r="F56" s="22">
        <v>0.637831</v>
      </c>
      <c r="G56" s="22">
        <v>0.719436</v>
      </c>
      <c r="H56" s="22">
        <v>0.928003</v>
      </c>
      <c r="I56" s="22">
        <v>1</v>
      </c>
      <c r="J56" s="22">
        <v>0.962634</v>
      </c>
      <c r="K56" s="22">
        <v>0.144525</v>
      </c>
      <c r="L56" s="22">
        <v>0.921789</v>
      </c>
      <c r="M56" s="22">
        <v>0.204863</v>
      </c>
      <c r="N56" s="22">
        <v>0.335175</v>
      </c>
      <c r="O56" s="22">
        <v>0.861808</v>
      </c>
      <c r="P56" s="22">
        <v>0.998254</v>
      </c>
      <c r="Q56" s="22">
        <v>0.921955</v>
      </c>
      <c r="R56" s="22">
        <v>0.79774</v>
      </c>
      <c r="S56" s="22">
        <v>0.430801</v>
      </c>
      <c r="T56" s="22">
        <v>0.984725</v>
      </c>
      <c r="U56" s="22">
        <v>0.951477</v>
      </c>
      <c r="V56" s="22">
        <v>0.959591</v>
      </c>
      <c r="W56" s="25">
        <v>0.892353</v>
      </c>
      <c r="X56" s="22">
        <v>235</v>
      </c>
      <c r="Y56" s="22">
        <v>16</v>
      </c>
      <c r="Z56" s="22">
        <v>0</v>
      </c>
      <c r="AA56" s="22">
        <v>3.9798</v>
      </c>
      <c r="AB56" s="22">
        <v>36.3357</v>
      </c>
    </row>
    <row r="57" spans="1:28">
      <c r="A57" s="27"/>
      <c r="B57" s="27"/>
      <c r="C57" s="26" t="s">
        <v>50</v>
      </c>
      <c r="D57" s="22">
        <v>0.982861</v>
      </c>
      <c r="E57" s="22">
        <v>0.819508</v>
      </c>
      <c r="F57" s="22">
        <v>0.017499</v>
      </c>
      <c r="G57" s="22">
        <v>0.034153</v>
      </c>
      <c r="H57" s="22">
        <v>0.838478</v>
      </c>
      <c r="I57" s="22">
        <v>1</v>
      </c>
      <c r="J57" s="22">
        <v>0.907886</v>
      </c>
      <c r="K57" s="22">
        <v>0.001607</v>
      </c>
      <c r="L57" s="22">
        <v>0.838478</v>
      </c>
      <c r="M57" s="22">
        <v>0.200209</v>
      </c>
      <c r="N57" s="22">
        <v>0.322275</v>
      </c>
      <c r="O57" s="22">
        <v>0.832926</v>
      </c>
      <c r="P57" s="22">
        <v>0.986414</v>
      </c>
      <c r="Q57" s="22">
        <v>0.898347</v>
      </c>
      <c r="R57" s="22">
        <v>0.871445</v>
      </c>
      <c r="S57" s="22">
        <v>0.520696</v>
      </c>
      <c r="T57" s="22">
        <v>0.991461</v>
      </c>
      <c r="U57" s="22">
        <v>0.965027</v>
      </c>
      <c r="V57" s="22">
        <v>0.976255</v>
      </c>
      <c r="W57" s="25">
        <v>0.921045</v>
      </c>
      <c r="X57" s="22">
        <v>420</v>
      </c>
      <c r="Y57" s="22">
        <v>13.5</v>
      </c>
      <c r="Z57" s="22">
        <v>0.5</v>
      </c>
      <c r="AA57" s="22">
        <v>1.811387</v>
      </c>
      <c r="AB57" s="22">
        <v>78.699747</v>
      </c>
    </row>
    <row r="58" spans="1:28">
      <c r="A58" s="27"/>
      <c r="B58" s="27"/>
      <c r="C58" s="26" t="s">
        <v>51</v>
      </c>
      <c r="D58" s="22">
        <v>0.995091</v>
      </c>
      <c r="E58" s="22">
        <v>0.75</v>
      </c>
      <c r="F58" s="22">
        <v>0.010263</v>
      </c>
      <c r="G58" s="22">
        <v>0.020177</v>
      </c>
      <c r="H58" s="22">
        <v>0.8</v>
      </c>
      <c r="I58" s="22">
        <v>1</v>
      </c>
      <c r="J58" s="22">
        <v>0.875</v>
      </c>
      <c r="K58" s="22">
        <v>0.003485</v>
      </c>
      <c r="L58" s="22">
        <v>0.8</v>
      </c>
      <c r="M58" s="22">
        <v>0.200411</v>
      </c>
      <c r="N58" s="22">
        <v>0.317171</v>
      </c>
      <c r="O58" s="22">
        <v>0.771944</v>
      </c>
      <c r="P58" s="22">
        <v>0.820756</v>
      </c>
      <c r="Q58" s="22">
        <v>0.789931</v>
      </c>
      <c r="R58" s="22">
        <v>0.879004</v>
      </c>
      <c r="S58" s="22">
        <v>0.618621</v>
      </c>
      <c r="T58" s="22">
        <v>0.991222</v>
      </c>
      <c r="U58" s="22">
        <v>0.966151</v>
      </c>
      <c r="V58" s="22">
        <v>0.975707</v>
      </c>
      <c r="W58" s="25">
        <v>0.926459</v>
      </c>
      <c r="X58" s="22" t="s">
        <v>0</v>
      </c>
      <c r="Y58" s="22">
        <v>1957.5</v>
      </c>
      <c r="Z58" s="22">
        <v>0</v>
      </c>
      <c r="AA58" s="22">
        <v>0.340273</v>
      </c>
      <c r="AB58" s="22">
        <v>138.545455</v>
      </c>
    </row>
    <row r="59" spans="1:28">
      <c r="A59" s="27"/>
      <c r="B59" s="27"/>
      <c r="C59" s="26" t="s">
        <v>52</v>
      </c>
      <c r="D59" s="22">
        <v>0.990626</v>
      </c>
      <c r="E59" s="22">
        <v>0.90641</v>
      </c>
      <c r="F59" s="22">
        <v>0.010241</v>
      </c>
      <c r="G59" s="22">
        <v>0.020251</v>
      </c>
      <c r="H59" s="22">
        <v>0.893015</v>
      </c>
      <c r="I59" s="22">
        <v>1</v>
      </c>
      <c r="J59" s="22">
        <v>0.942059</v>
      </c>
      <c r="K59" s="22">
        <v>0.000862</v>
      </c>
      <c r="L59" s="22">
        <v>0.893015</v>
      </c>
      <c r="M59" s="22">
        <v>0.200201</v>
      </c>
      <c r="N59" s="22">
        <v>0.326775</v>
      </c>
      <c r="O59" s="22">
        <v>0.915015</v>
      </c>
      <c r="P59" s="22">
        <v>0.983892</v>
      </c>
      <c r="Q59" s="22">
        <v>0.947621</v>
      </c>
      <c r="R59" s="22">
        <v>0.860705</v>
      </c>
      <c r="S59" s="22">
        <v>0.485798</v>
      </c>
      <c r="T59" s="22">
        <v>0.991433</v>
      </c>
      <c r="U59" s="22">
        <v>0.9612</v>
      </c>
      <c r="V59" s="22">
        <v>0.975256</v>
      </c>
      <c r="W59" s="25">
        <v>0.914429</v>
      </c>
      <c r="X59" s="22">
        <v>406</v>
      </c>
      <c r="Y59" s="22">
        <v>31</v>
      </c>
      <c r="Z59" s="22">
        <v>0.5</v>
      </c>
      <c r="AA59" s="22">
        <v>1.225129</v>
      </c>
      <c r="AB59" s="22">
        <v>119.860952</v>
      </c>
    </row>
    <row r="60" spans="1:28">
      <c r="A60" s="27"/>
      <c r="B60" s="27"/>
      <c r="C60" s="26" t="s">
        <v>53</v>
      </c>
      <c r="D60" s="30">
        <v>0.997903</v>
      </c>
      <c r="E60" s="30">
        <v>0.745536</v>
      </c>
      <c r="F60" s="30">
        <v>0.007527</v>
      </c>
      <c r="G60" s="30">
        <v>0.014881</v>
      </c>
      <c r="H60" s="30">
        <v>0.821429</v>
      </c>
      <c r="I60" s="30">
        <v>1</v>
      </c>
      <c r="J60" s="30">
        <v>0.893976</v>
      </c>
      <c r="K60" s="30">
        <v>0.001902</v>
      </c>
      <c r="L60" s="30">
        <v>0.821429</v>
      </c>
      <c r="M60" s="30">
        <v>0.200273</v>
      </c>
      <c r="N60" s="30">
        <v>0.320185</v>
      </c>
      <c r="O60" s="30">
        <v>0.768807</v>
      </c>
      <c r="P60" s="30">
        <v>0.846179</v>
      </c>
      <c r="Q60" s="30">
        <v>0.789734</v>
      </c>
      <c r="R60" s="30">
        <v>0.847898</v>
      </c>
      <c r="S60" s="30">
        <v>0.521534</v>
      </c>
      <c r="T60" s="30">
        <v>0.989828</v>
      </c>
      <c r="U60" s="30">
        <v>0.961651</v>
      </c>
      <c r="V60" s="30">
        <v>0.971687</v>
      </c>
      <c r="W60" s="31">
        <v>0.914838</v>
      </c>
      <c r="X60" s="30" t="s">
        <v>0</v>
      </c>
      <c r="Y60" s="30">
        <v>2495.5</v>
      </c>
      <c r="Z60" s="30">
        <v>0</v>
      </c>
      <c r="AA60" s="30">
        <v>0.177313</v>
      </c>
      <c r="AB60" s="30">
        <v>419.75</v>
      </c>
    </row>
    <row r="61" spans="1:28">
      <c r="A61" s="27"/>
      <c r="B61" s="27"/>
      <c r="C61" s="26" t="s">
        <v>54</v>
      </c>
      <c r="D61" s="22">
        <v>0.996235</v>
      </c>
      <c r="E61" s="22">
        <v>0.638889</v>
      </c>
      <c r="F61" s="22">
        <v>0.002914</v>
      </c>
      <c r="G61" s="22">
        <v>0.005801</v>
      </c>
      <c r="H61" s="22">
        <v>0.617788</v>
      </c>
      <c r="I61" s="22">
        <v>1</v>
      </c>
      <c r="J61" s="22">
        <v>0.718095</v>
      </c>
      <c r="K61" s="22">
        <v>0.001324</v>
      </c>
      <c r="L61" s="22">
        <v>0.617788</v>
      </c>
      <c r="M61" s="22">
        <v>0.200217</v>
      </c>
      <c r="N61" s="22">
        <v>0.286536</v>
      </c>
      <c r="O61" s="22">
        <v>0.664507</v>
      </c>
      <c r="P61" s="22">
        <v>0.920423</v>
      </c>
      <c r="Q61" s="22">
        <v>0.738615</v>
      </c>
      <c r="R61" s="22">
        <v>0.806066</v>
      </c>
      <c r="S61" s="22">
        <v>0.433972</v>
      </c>
      <c r="T61" s="22">
        <v>0.986253</v>
      </c>
      <c r="U61" s="22">
        <v>0.952354</v>
      </c>
      <c r="V61" s="22">
        <v>0.962776</v>
      </c>
      <c r="W61" s="22">
        <v>0.894264</v>
      </c>
      <c r="X61" s="22" t="s">
        <v>0</v>
      </c>
      <c r="Y61" s="22">
        <v>1114</v>
      </c>
      <c r="Z61" s="22">
        <v>0</v>
      </c>
      <c r="AA61" s="22">
        <v>0.440375</v>
      </c>
      <c r="AB61" s="22">
        <v>523.666667</v>
      </c>
    </row>
    <row r="62" spans="1:28">
      <c r="A62" s="27"/>
      <c r="B62" s="27"/>
      <c r="C62" s="26" t="s">
        <v>55</v>
      </c>
      <c r="D62" s="32">
        <v>0.992918</v>
      </c>
      <c r="E62" s="32">
        <v>0.851744</v>
      </c>
      <c r="F62" s="32">
        <v>0.010431</v>
      </c>
      <c r="G62" s="32">
        <v>0.020594</v>
      </c>
      <c r="H62" s="32">
        <v>0.816667</v>
      </c>
      <c r="I62" s="32">
        <v>1</v>
      </c>
      <c r="J62" s="32">
        <v>0.894523</v>
      </c>
      <c r="K62" s="32">
        <v>0.004133</v>
      </c>
      <c r="L62" s="32">
        <v>0.816667</v>
      </c>
      <c r="M62" s="32">
        <v>0.200582</v>
      </c>
      <c r="N62" s="32">
        <v>0.320995</v>
      </c>
      <c r="O62" s="32">
        <v>0.861806</v>
      </c>
      <c r="P62" s="32">
        <v>0.910715</v>
      </c>
      <c r="Q62" s="32">
        <v>0.884921</v>
      </c>
      <c r="R62" s="32">
        <v>0.877661</v>
      </c>
      <c r="S62" s="32">
        <v>0.593117</v>
      </c>
      <c r="T62" s="32">
        <v>0.991594</v>
      </c>
      <c r="U62" s="32">
        <v>0.967179</v>
      </c>
      <c r="V62" s="32">
        <v>0.976675</v>
      </c>
      <c r="W62" s="33">
        <v>0.927739</v>
      </c>
      <c r="X62" s="32">
        <v>236</v>
      </c>
      <c r="Y62" s="32">
        <v>286</v>
      </c>
      <c r="Z62" s="32">
        <v>0</v>
      </c>
      <c r="AA62" s="32">
        <v>0.358041</v>
      </c>
      <c r="AB62" s="32">
        <v>401.714286</v>
      </c>
    </row>
    <row r="63" spans="1:28">
      <c r="A63" s="27"/>
      <c r="B63" s="27"/>
      <c r="C63" s="26" t="s">
        <v>56</v>
      </c>
      <c r="D63" s="22">
        <v>1</v>
      </c>
      <c r="E63" s="22">
        <v>0.9375</v>
      </c>
      <c r="F63" s="22">
        <v>0.002088</v>
      </c>
      <c r="G63" s="22">
        <v>0.004167</v>
      </c>
      <c r="H63" s="22">
        <v>0.75</v>
      </c>
      <c r="I63" s="22">
        <v>1</v>
      </c>
      <c r="J63" s="22">
        <v>0.833333</v>
      </c>
      <c r="K63" s="22">
        <v>0.002662</v>
      </c>
      <c r="L63" s="22">
        <v>0.75</v>
      </c>
      <c r="M63" s="22">
        <v>0.200971</v>
      </c>
      <c r="N63" s="22">
        <v>0.310545</v>
      </c>
      <c r="O63" s="22">
        <v>0.942498</v>
      </c>
      <c r="P63" s="22">
        <v>0.738635</v>
      </c>
      <c r="Q63" s="22">
        <v>0.828192</v>
      </c>
      <c r="R63" s="22">
        <v>0.84798</v>
      </c>
      <c r="S63" s="22">
        <v>0.405213</v>
      </c>
      <c r="T63" s="22">
        <v>0.990409</v>
      </c>
      <c r="U63" s="22">
        <v>0.954654</v>
      </c>
      <c r="V63" s="22">
        <v>0.972801</v>
      </c>
      <c r="W63" s="25">
        <v>0.895905</v>
      </c>
      <c r="X63" s="22" t="s">
        <v>0</v>
      </c>
      <c r="Y63" s="22">
        <v>2895</v>
      </c>
      <c r="Z63" s="22">
        <v>0</v>
      </c>
      <c r="AA63" s="22">
        <v>0</v>
      </c>
      <c r="AB63" s="22" t="s">
        <v>0</v>
      </c>
    </row>
    <row r="64" spans="1:28">
      <c r="A64" s="27"/>
      <c r="B64" s="27"/>
      <c r="C64" s="26" t="s">
        <v>57</v>
      </c>
      <c r="D64" s="22">
        <v>0.994626</v>
      </c>
      <c r="E64" s="22">
        <v>0.777778</v>
      </c>
      <c r="F64" s="22">
        <v>0.013129</v>
      </c>
      <c r="G64" s="22">
        <v>0.025765</v>
      </c>
      <c r="H64" s="22">
        <v>0.809524</v>
      </c>
      <c r="I64" s="22">
        <v>1</v>
      </c>
      <c r="J64" s="22">
        <v>0.882353</v>
      </c>
      <c r="K64" s="22">
        <v>0.001902</v>
      </c>
      <c r="L64" s="22">
        <v>0.809524</v>
      </c>
      <c r="M64" s="22">
        <v>0.200251</v>
      </c>
      <c r="N64" s="22">
        <v>0.318142</v>
      </c>
      <c r="O64" s="22">
        <v>0.799566</v>
      </c>
      <c r="P64" s="22">
        <v>0.93833</v>
      </c>
      <c r="Q64" s="22">
        <v>0.853416</v>
      </c>
      <c r="R64" s="22">
        <v>0.86981</v>
      </c>
      <c r="S64" s="22">
        <v>0.54054</v>
      </c>
      <c r="T64" s="22">
        <v>0.991201</v>
      </c>
      <c r="U64" s="22">
        <v>0.964294</v>
      </c>
      <c r="V64" s="22">
        <v>0.975416</v>
      </c>
      <c r="W64" s="25">
        <v>0.920243</v>
      </c>
      <c r="X64" s="22" t="s">
        <v>0</v>
      </c>
      <c r="Y64" s="22">
        <v>543.5</v>
      </c>
      <c r="Z64" s="22">
        <v>0</v>
      </c>
      <c r="AA64" s="22">
        <v>0.566783</v>
      </c>
      <c r="AB64" s="22">
        <v>269.047619</v>
      </c>
    </row>
    <row r="65" spans="1:28">
      <c r="A65" s="27"/>
      <c r="B65" s="27"/>
      <c r="C65" s="26" t="s">
        <v>58</v>
      </c>
      <c r="D65" s="22">
        <v>1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0.774033</v>
      </c>
      <c r="S65" s="22">
        <v>0.29086</v>
      </c>
      <c r="T65" s="22">
        <v>0.983503</v>
      </c>
      <c r="U65" s="22">
        <v>0.944323</v>
      </c>
      <c r="V65" s="22">
        <v>0.956442</v>
      </c>
      <c r="W65" s="25">
        <v>0.873014</v>
      </c>
      <c r="X65" s="22" t="s">
        <v>0</v>
      </c>
      <c r="Y65" s="22" t="s">
        <v>0</v>
      </c>
      <c r="Z65" s="22">
        <v>0</v>
      </c>
      <c r="AA65" s="22">
        <v>0</v>
      </c>
      <c r="AB65" s="22" t="s">
        <v>0</v>
      </c>
    </row>
    <row r="66" spans="1:28">
      <c r="A66" s="27"/>
      <c r="B66" s="27"/>
      <c r="C66" s="26" t="s">
        <v>59</v>
      </c>
      <c r="D66" s="22">
        <v>0.668965</v>
      </c>
      <c r="E66" s="22">
        <v>0.817802</v>
      </c>
      <c r="F66" s="22">
        <v>0.340791</v>
      </c>
      <c r="G66" s="22">
        <v>0.479566</v>
      </c>
      <c r="H66" s="22">
        <v>0.818408</v>
      </c>
      <c r="I66" s="22">
        <v>1</v>
      </c>
      <c r="J66" s="22">
        <v>0.892424</v>
      </c>
      <c r="K66" s="22">
        <v>0.077533</v>
      </c>
      <c r="L66" s="22">
        <v>0.792823</v>
      </c>
      <c r="M66" s="22">
        <v>0.210189</v>
      </c>
      <c r="N66" s="22">
        <v>0.329334</v>
      </c>
      <c r="O66" s="22">
        <v>0.840642</v>
      </c>
      <c r="P66" s="22">
        <v>0.981366</v>
      </c>
      <c r="Q66" s="22">
        <v>0.900414</v>
      </c>
      <c r="R66" s="22">
        <v>0.831715</v>
      </c>
      <c r="S66" s="22">
        <v>0.493299</v>
      </c>
      <c r="T66" s="22">
        <v>0.989679</v>
      </c>
      <c r="U66" s="22">
        <v>0.961109</v>
      </c>
      <c r="V66" s="22">
        <v>0.970799</v>
      </c>
      <c r="W66" s="25">
        <v>0.913053</v>
      </c>
      <c r="X66" s="22">
        <v>41</v>
      </c>
      <c r="Y66" s="22">
        <v>110.5</v>
      </c>
      <c r="Z66" s="22">
        <v>0</v>
      </c>
      <c r="AA66" s="22">
        <v>0.893394</v>
      </c>
      <c r="AB66" s="22">
        <v>163.916667</v>
      </c>
    </row>
    <row r="67" spans="1:28">
      <c r="A67" s="27"/>
      <c r="B67" s="27"/>
      <c r="C67" s="26" t="s">
        <v>60</v>
      </c>
      <c r="D67" s="22">
        <v>0.989872</v>
      </c>
      <c r="E67" s="22">
        <v>0.760551</v>
      </c>
      <c r="F67" s="22">
        <v>0.011309</v>
      </c>
      <c r="G67" s="22">
        <v>0.022285</v>
      </c>
      <c r="H67" s="22">
        <v>0.752726</v>
      </c>
      <c r="I67" s="22">
        <v>1</v>
      </c>
      <c r="J67" s="22">
        <v>0.841949</v>
      </c>
      <c r="K67" s="22">
        <v>0.001408</v>
      </c>
      <c r="L67" s="22">
        <v>0.752726</v>
      </c>
      <c r="M67" s="22">
        <v>0.200206</v>
      </c>
      <c r="N67" s="22">
        <v>0.311884</v>
      </c>
      <c r="O67" s="22">
        <v>0.77431</v>
      </c>
      <c r="P67" s="22">
        <v>0.966749</v>
      </c>
      <c r="Q67" s="22">
        <v>0.848039</v>
      </c>
      <c r="R67" s="22">
        <v>0.81102</v>
      </c>
      <c r="S67" s="22">
        <v>0.436773</v>
      </c>
      <c r="T67" s="22">
        <v>0.985749</v>
      </c>
      <c r="U67" s="22">
        <v>0.951125</v>
      </c>
      <c r="V67" s="22">
        <v>0.961726</v>
      </c>
      <c r="W67" s="25">
        <v>0.891739</v>
      </c>
      <c r="X67" s="22">
        <v>236</v>
      </c>
      <c r="Y67" s="22">
        <v>112</v>
      </c>
      <c r="Z67" s="22">
        <v>0</v>
      </c>
      <c r="AA67" s="22">
        <v>1.251435</v>
      </c>
      <c r="AB67" s="22">
        <v>116.72619</v>
      </c>
    </row>
    <row r="68" spans="1:28">
      <c r="A68" s="27"/>
      <c r="B68" s="27"/>
      <c r="C68" s="26" t="s">
        <v>61</v>
      </c>
      <c r="D68" s="22">
        <v>1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0.772896</v>
      </c>
      <c r="S68" s="22">
        <v>0.31168</v>
      </c>
      <c r="T68" s="22">
        <v>0.982679</v>
      </c>
      <c r="U68" s="22">
        <v>0.943864</v>
      </c>
      <c r="V68" s="22">
        <v>0.955125</v>
      </c>
      <c r="W68" s="25">
        <v>0.871506</v>
      </c>
      <c r="X68" s="22" t="s">
        <v>0</v>
      </c>
      <c r="Y68" s="22" t="s">
        <v>0</v>
      </c>
      <c r="Z68" s="22">
        <v>0</v>
      </c>
      <c r="AA68" s="22">
        <v>0</v>
      </c>
      <c r="AB68" s="22" t="s">
        <v>0</v>
      </c>
    </row>
    <row r="69" spans="1:28">
      <c r="A69" s="27"/>
      <c r="B69" s="27"/>
      <c r="C69" s="26" t="s">
        <v>62</v>
      </c>
      <c r="D69" s="22">
        <v>1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0.836452</v>
      </c>
      <c r="S69" s="22">
        <v>0.357151</v>
      </c>
      <c r="T69" s="22">
        <v>0.990367</v>
      </c>
      <c r="U69" s="22">
        <v>0.952584</v>
      </c>
      <c r="V69" s="22">
        <v>0.972518</v>
      </c>
      <c r="W69" s="25">
        <v>0.890364</v>
      </c>
      <c r="X69" s="22" t="s">
        <v>0</v>
      </c>
      <c r="Y69" s="22" t="s">
        <v>0</v>
      </c>
      <c r="Z69" s="22">
        <v>0</v>
      </c>
      <c r="AA69" s="22">
        <v>0</v>
      </c>
      <c r="AB69" s="22" t="s">
        <v>0</v>
      </c>
    </row>
    <row r="70" spans="1:28">
      <c r="A70" s="27"/>
      <c r="B70" s="27"/>
      <c r="C70" s="26" t="s">
        <v>63</v>
      </c>
      <c r="D70" s="22">
        <v>1</v>
      </c>
      <c r="E70" s="22">
        <v>0.5</v>
      </c>
      <c r="F70" s="22">
        <v>0.000174</v>
      </c>
      <c r="G70" s="22">
        <v>0.000347</v>
      </c>
      <c r="H70" s="22">
        <v>0.5</v>
      </c>
      <c r="I70" s="22">
        <v>0.5</v>
      </c>
      <c r="J70" s="22">
        <v>0.5</v>
      </c>
      <c r="K70" s="22">
        <v>0.000347</v>
      </c>
      <c r="L70" s="22">
        <v>0.5</v>
      </c>
      <c r="M70" s="22">
        <v>0.100139</v>
      </c>
      <c r="N70" s="22">
        <v>0.16686</v>
      </c>
      <c r="O70" s="22">
        <v>0.565636</v>
      </c>
      <c r="P70" s="22">
        <v>0.369214</v>
      </c>
      <c r="Q70" s="22">
        <v>0.389861</v>
      </c>
      <c r="R70" s="22">
        <v>0.801715</v>
      </c>
      <c r="S70" s="22">
        <v>0.387865</v>
      </c>
      <c r="T70" s="22">
        <v>0.983958</v>
      </c>
      <c r="U70" s="22">
        <v>0.947405</v>
      </c>
      <c r="V70" s="22">
        <v>0.95854</v>
      </c>
      <c r="W70" s="25">
        <v>0.88155</v>
      </c>
      <c r="X70" s="22" t="s">
        <v>0</v>
      </c>
      <c r="Y70" s="22">
        <v>7618</v>
      </c>
      <c r="Z70" s="22">
        <v>0</v>
      </c>
      <c r="AA70" s="22">
        <v>0</v>
      </c>
      <c r="AB70" s="22" t="s">
        <v>0</v>
      </c>
    </row>
    <row r="71" spans="1:28">
      <c r="A71" s="27"/>
      <c r="B71" s="27"/>
      <c r="C71" s="26" t="s">
        <v>64</v>
      </c>
      <c r="D71" s="22">
        <v>1</v>
      </c>
      <c r="E71" s="22">
        <v>0.466535</v>
      </c>
      <c r="F71" s="22">
        <v>0.013714</v>
      </c>
      <c r="G71" s="22">
        <v>0.026644</v>
      </c>
      <c r="H71" s="22">
        <v>0.470588</v>
      </c>
      <c r="I71" s="22">
        <v>0.5</v>
      </c>
      <c r="J71" s="22">
        <v>0.484848</v>
      </c>
      <c r="K71" s="22">
        <v>0.002884</v>
      </c>
      <c r="L71" s="22">
        <v>0.466845</v>
      </c>
      <c r="M71" s="22">
        <v>0.100137</v>
      </c>
      <c r="N71" s="22">
        <v>0.164903</v>
      </c>
      <c r="O71" s="22">
        <v>0.523332</v>
      </c>
      <c r="P71" s="22">
        <v>0.55221</v>
      </c>
      <c r="Q71" s="22">
        <v>0.519152</v>
      </c>
      <c r="R71" s="22">
        <v>0.849176</v>
      </c>
      <c r="S71" s="22">
        <v>0.539834</v>
      </c>
      <c r="T71" s="22">
        <v>0.988594</v>
      </c>
      <c r="U71" s="22">
        <v>0.957931</v>
      </c>
      <c r="V71" s="22">
        <v>0.969204</v>
      </c>
      <c r="W71" s="25">
        <v>0.908197</v>
      </c>
      <c r="X71" s="22" t="s">
        <v>0</v>
      </c>
      <c r="Y71" s="22">
        <v>3798</v>
      </c>
      <c r="Z71" s="22">
        <v>0</v>
      </c>
      <c r="AA71" s="22">
        <v>0</v>
      </c>
      <c r="AB71" s="22" t="s">
        <v>0</v>
      </c>
    </row>
    <row r="72" spans="1:28">
      <c r="A72" s="27"/>
      <c r="B72" s="22" t="s">
        <v>65</v>
      </c>
      <c r="C72" s="26" t="s">
        <v>66</v>
      </c>
      <c r="D72" s="22">
        <v>0.984121</v>
      </c>
      <c r="E72" s="22">
        <v>0.892574</v>
      </c>
      <c r="F72" s="22">
        <v>0.019719</v>
      </c>
      <c r="G72" s="22">
        <v>0.038583</v>
      </c>
      <c r="H72" s="22">
        <v>0.872218</v>
      </c>
      <c r="I72" s="22">
        <v>1</v>
      </c>
      <c r="J72" s="22">
        <v>0.928214</v>
      </c>
      <c r="K72" s="22">
        <v>0.001954</v>
      </c>
      <c r="L72" s="22">
        <v>0.872218</v>
      </c>
      <c r="M72" s="22">
        <v>0.200232</v>
      </c>
      <c r="N72" s="22">
        <v>0.32493</v>
      </c>
      <c r="O72" s="22">
        <v>0.901554</v>
      </c>
      <c r="P72" s="22">
        <v>0.986787</v>
      </c>
      <c r="Q72" s="22">
        <v>0.940463</v>
      </c>
      <c r="R72" s="22">
        <v>0.860307</v>
      </c>
      <c r="S72" s="22">
        <v>0.544985</v>
      </c>
      <c r="T72" s="22">
        <v>0.990632</v>
      </c>
      <c r="U72" s="22">
        <v>0.963927</v>
      </c>
      <c r="V72" s="22">
        <v>0.973884</v>
      </c>
      <c r="W72" s="25">
        <v>0.919951</v>
      </c>
      <c r="X72" s="22" t="s">
        <v>0</v>
      </c>
      <c r="Y72" s="22">
        <v>135</v>
      </c>
      <c r="Z72" s="22">
        <v>0</v>
      </c>
      <c r="AA72" s="22">
        <v>1.951456</v>
      </c>
      <c r="AB72" s="22">
        <v>82.240347</v>
      </c>
    </row>
    <row r="73" spans="1:28">
      <c r="A73" s="27"/>
      <c r="B73" s="28"/>
      <c r="C73" s="26" t="s">
        <v>67</v>
      </c>
      <c r="D73" s="22">
        <v>0.991893</v>
      </c>
      <c r="E73" s="22">
        <v>0.76525</v>
      </c>
      <c r="F73" s="22">
        <v>0.009842</v>
      </c>
      <c r="G73" s="22">
        <v>0.019427</v>
      </c>
      <c r="H73" s="22">
        <v>0.746411</v>
      </c>
      <c r="I73" s="22">
        <v>1</v>
      </c>
      <c r="J73" s="22">
        <v>0.839428</v>
      </c>
      <c r="K73" s="22">
        <v>0.002152</v>
      </c>
      <c r="L73" s="22">
        <v>0.746411</v>
      </c>
      <c r="M73" s="22">
        <v>0.200267</v>
      </c>
      <c r="N73" s="22">
        <v>0.311788</v>
      </c>
      <c r="O73" s="22">
        <v>0.778238</v>
      </c>
      <c r="P73" s="22">
        <v>0.950815</v>
      </c>
      <c r="Q73" s="22">
        <v>0.846103</v>
      </c>
      <c r="R73" s="22">
        <v>0.852892</v>
      </c>
      <c r="S73" s="22">
        <v>0.524057</v>
      </c>
      <c r="T73" s="22">
        <v>0.990177</v>
      </c>
      <c r="U73" s="22">
        <v>0.963353</v>
      </c>
      <c r="V73" s="22">
        <v>0.972813</v>
      </c>
      <c r="W73" s="25">
        <v>0.918283</v>
      </c>
      <c r="X73" s="22">
        <v>234</v>
      </c>
      <c r="Y73" s="22">
        <v>26.5</v>
      </c>
      <c r="Z73" s="22">
        <v>0</v>
      </c>
      <c r="AA73" s="22">
        <v>0.737265</v>
      </c>
      <c r="AB73" s="22">
        <v>191.502747</v>
      </c>
    </row>
    <row r="74" spans="1:28">
      <c r="A74" s="27"/>
      <c r="B74" s="22" t="s">
        <v>68</v>
      </c>
      <c r="C74" s="26" t="s">
        <v>69</v>
      </c>
      <c r="D74" s="22">
        <v>0.993979</v>
      </c>
      <c r="E74" s="22">
        <v>0.780918</v>
      </c>
      <c r="F74" s="22">
        <v>0.008263</v>
      </c>
      <c r="G74" s="22">
        <v>0.016354</v>
      </c>
      <c r="H74" s="22">
        <v>0.763957</v>
      </c>
      <c r="I74" s="22">
        <v>1</v>
      </c>
      <c r="J74" s="22">
        <v>0.849531</v>
      </c>
      <c r="K74" s="22">
        <v>0.001209</v>
      </c>
      <c r="L74" s="22">
        <v>0.763957</v>
      </c>
      <c r="M74" s="22">
        <v>0.200201</v>
      </c>
      <c r="N74" s="22">
        <v>0.313013</v>
      </c>
      <c r="O74" s="22">
        <v>0.793321</v>
      </c>
      <c r="P74" s="22">
        <v>0.960027</v>
      </c>
      <c r="Q74" s="22">
        <v>0.860095</v>
      </c>
      <c r="R74" s="22">
        <v>0.848063</v>
      </c>
      <c r="S74" s="22">
        <v>0.493347</v>
      </c>
      <c r="T74" s="22">
        <v>0.989945</v>
      </c>
      <c r="U74" s="22">
        <v>0.961616</v>
      </c>
      <c r="V74" s="22">
        <v>0.972142</v>
      </c>
      <c r="W74" s="25">
        <v>0.914022</v>
      </c>
      <c r="X74" s="22" t="s">
        <v>0</v>
      </c>
      <c r="Y74" s="22">
        <v>70.5</v>
      </c>
      <c r="Z74" s="22">
        <v>0</v>
      </c>
      <c r="AA74" s="22">
        <v>0.766986</v>
      </c>
      <c r="AB74" s="22">
        <v>197.697917</v>
      </c>
    </row>
    <row r="75" spans="1:28">
      <c r="A75" s="27"/>
      <c r="B75" s="27"/>
      <c r="C75" s="26" t="s">
        <v>70</v>
      </c>
      <c r="D75" s="22">
        <v>0.986401</v>
      </c>
      <c r="E75" s="22">
        <v>0.783386</v>
      </c>
      <c r="F75" s="22">
        <v>0.011451</v>
      </c>
      <c r="G75" s="22">
        <v>0.022571</v>
      </c>
      <c r="H75" s="22">
        <v>0.778865</v>
      </c>
      <c r="I75" s="22">
        <v>1</v>
      </c>
      <c r="J75" s="22">
        <v>0.860188</v>
      </c>
      <c r="K75" s="22">
        <v>0.001838</v>
      </c>
      <c r="L75" s="22">
        <v>0.778865</v>
      </c>
      <c r="M75" s="22">
        <v>0.200355</v>
      </c>
      <c r="N75" s="22">
        <v>0.314843</v>
      </c>
      <c r="O75" s="22">
        <v>0.792336</v>
      </c>
      <c r="P75" s="22">
        <v>0.952126</v>
      </c>
      <c r="Q75" s="22">
        <v>0.857249</v>
      </c>
      <c r="R75" s="22">
        <v>0.823237</v>
      </c>
      <c r="S75" s="22">
        <v>0.43011</v>
      </c>
      <c r="T75" s="22">
        <v>0.988131</v>
      </c>
      <c r="U75" s="22">
        <v>0.954205</v>
      </c>
      <c r="V75" s="22">
        <v>0.96707</v>
      </c>
      <c r="W75" s="25">
        <v>0.896759</v>
      </c>
      <c r="X75" s="22">
        <v>236</v>
      </c>
      <c r="Y75" s="22">
        <v>73</v>
      </c>
      <c r="Z75" s="22">
        <v>0</v>
      </c>
      <c r="AA75" s="22">
        <v>1.031756</v>
      </c>
      <c r="AB75" s="22">
        <v>174.96633</v>
      </c>
    </row>
    <row r="76" spans="1:28">
      <c r="A76" s="27"/>
      <c r="B76" s="27"/>
      <c r="C76" s="26" t="s">
        <v>71</v>
      </c>
      <c r="D76" s="22">
        <v>0.995528</v>
      </c>
      <c r="E76" s="22">
        <v>0.840121</v>
      </c>
      <c r="F76" s="22">
        <v>0.006291</v>
      </c>
      <c r="G76" s="22">
        <v>0.012483</v>
      </c>
      <c r="H76" s="22">
        <v>0.828297</v>
      </c>
      <c r="I76" s="22">
        <v>1</v>
      </c>
      <c r="J76" s="22">
        <v>0.9</v>
      </c>
      <c r="K76" s="22">
        <v>0.001639</v>
      </c>
      <c r="L76" s="22">
        <v>0.828297</v>
      </c>
      <c r="M76" s="22">
        <v>0.200233</v>
      </c>
      <c r="N76" s="22">
        <v>0.321108</v>
      </c>
      <c r="O76" s="22">
        <v>0.845106</v>
      </c>
      <c r="P76" s="22">
        <v>0.942637</v>
      </c>
      <c r="Q76" s="22">
        <v>0.887768</v>
      </c>
      <c r="R76" s="22">
        <v>0.843987</v>
      </c>
      <c r="S76" s="22">
        <v>0.502924</v>
      </c>
      <c r="T76" s="22">
        <v>0.98896</v>
      </c>
      <c r="U76" s="22">
        <v>0.960223</v>
      </c>
      <c r="V76" s="22">
        <v>0.969874</v>
      </c>
      <c r="W76" s="25">
        <v>0.911792</v>
      </c>
      <c r="X76" s="22">
        <v>234</v>
      </c>
      <c r="Y76" s="22">
        <v>26.5</v>
      </c>
      <c r="Z76" s="22">
        <v>0</v>
      </c>
      <c r="AA76" s="22">
        <v>0.543892</v>
      </c>
      <c r="AB76" s="22">
        <v>367.1</v>
      </c>
    </row>
    <row r="77" spans="1:28">
      <c r="A77" s="27"/>
      <c r="B77" s="28"/>
      <c r="C77" s="26" t="s">
        <v>72</v>
      </c>
      <c r="D77" s="22">
        <v>0.995711</v>
      </c>
      <c r="E77" s="22">
        <v>0.727864</v>
      </c>
      <c r="F77" s="22">
        <v>0.006512</v>
      </c>
      <c r="G77" s="22">
        <v>0.012898</v>
      </c>
      <c r="H77" s="22">
        <v>0.744928</v>
      </c>
      <c r="I77" s="22">
        <v>1</v>
      </c>
      <c r="J77" s="22">
        <v>0.836715</v>
      </c>
      <c r="K77" s="22">
        <v>0.001209</v>
      </c>
      <c r="L77" s="22">
        <v>0.744928</v>
      </c>
      <c r="M77" s="22">
        <v>0.200204</v>
      </c>
      <c r="N77" s="22">
        <v>0.311103</v>
      </c>
      <c r="O77" s="22">
        <v>0.74586</v>
      </c>
      <c r="P77" s="22">
        <v>0.922302</v>
      </c>
      <c r="Q77" s="22">
        <v>0.814772</v>
      </c>
      <c r="R77" s="22">
        <v>0.850327</v>
      </c>
      <c r="S77" s="22">
        <v>0.516884</v>
      </c>
      <c r="T77" s="22">
        <v>0.989548</v>
      </c>
      <c r="U77" s="22">
        <v>0.960975</v>
      </c>
      <c r="V77" s="22">
        <v>0.971231</v>
      </c>
      <c r="W77" s="25">
        <v>0.913449</v>
      </c>
      <c r="X77" s="22" t="s">
        <v>0</v>
      </c>
      <c r="Y77" s="22">
        <v>1040.5</v>
      </c>
      <c r="Z77" s="22">
        <v>0</v>
      </c>
      <c r="AA77" s="22">
        <v>0.565075</v>
      </c>
      <c r="AB77" s="22">
        <v>272.412088</v>
      </c>
    </row>
    <row r="78" spans="1:28">
      <c r="A78" s="28"/>
      <c r="B78" s="22" t="s">
        <v>73</v>
      </c>
      <c r="C78" s="26" t="s">
        <v>74</v>
      </c>
      <c r="D78" s="22">
        <v>1</v>
      </c>
      <c r="E78" s="22">
        <v>0</v>
      </c>
      <c r="F78" s="22">
        <v>0</v>
      </c>
      <c r="G78" s="22">
        <v>0</v>
      </c>
      <c r="H78" s="22">
        <v>0</v>
      </c>
      <c r="I78" s="22">
        <v>0</v>
      </c>
      <c r="J78" s="22">
        <v>0</v>
      </c>
      <c r="K78" s="22">
        <v>0</v>
      </c>
      <c r="L78" s="22">
        <v>0</v>
      </c>
      <c r="M78" s="22">
        <v>0</v>
      </c>
      <c r="N78" s="22">
        <v>0</v>
      </c>
      <c r="O78" s="22">
        <v>0</v>
      </c>
      <c r="P78" s="22">
        <v>0</v>
      </c>
      <c r="Q78" s="22">
        <v>0</v>
      </c>
      <c r="R78" s="22">
        <v>0.790661</v>
      </c>
      <c r="S78" s="22">
        <v>0.409126</v>
      </c>
      <c r="T78" s="22">
        <v>0.983042</v>
      </c>
      <c r="U78" s="22">
        <v>0.94774</v>
      </c>
      <c r="V78" s="22">
        <v>0.956375</v>
      </c>
      <c r="W78" s="25">
        <v>0.883893</v>
      </c>
      <c r="X78" s="22" t="s">
        <v>0</v>
      </c>
      <c r="Y78" s="22" t="s">
        <v>0</v>
      </c>
      <c r="Z78" s="22">
        <v>0</v>
      </c>
      <c r="AA78" s="22">
        <v>0</v>
      </c>
      <c r="AB78" s="22" t="s">
        <v>0</v>
      </c>
    </row>
  </sheetData>
  <mergeCells count="12">
    <mergeCell ref="A4:A39"/>
    <mergeCell ref="A43:A78"/>
    <mergeCell ref="B4:B6"/>
    <mergeCell ref="B7:B14"/>
    <mergeCell ref="B15:B32"/>
    <mergeCell ref="B33:B34"/>
    <mergeCell ref="B35:B38"/>
    <mergeCell ref="B43:B45"/>
    <mergeCell ref="B46:B53"/>
    <mergeCell ref="B54:B71"/>
    <mergeCell ref="B72:B73"/>
    <mergeCell ref="B74:B77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48"/>
  <sheetViews>
    <sheetView showGridLines="0" topLeftCell="A30" workbookViewId="0">
      <selection activeCell="A2" sqref="A2:T3"/>
    </sheetView>
  </sheetViews>
  <sheetFormatPr defaultColWidth="9" defaultRowHeight="16.5"/>
  <cols>
    <col min="1" max="1" width="12" style="1" customWidth="1"/>
    <col min="2" max="2" width="14" style="1" customWidth="1"/>
    <col min="3" max="3" width="18" style="1" customWidth="1"/>
    <col min="4" max="4" width="20" style="1" customWidth="1"/>
    <col min="5" max="5" width="22" style="1" customWidth="1"/>
    <col min="6" max="7" width="12" style="1" customWidth="1"/>
    <col min="8" max="8" width="15" style="1" customWidth="1"/>
    <col min="9" max="9" width="14" style="1" customWidth="1"/>
    <col min="10" max="10" width="12" style="1" customWidth="1"/>
    <col min="11" max="12" width="13" style="1" customWidth="1"/>
    <col min="13" max="13" width="15" style="1" customWidth="1"/>
    <col min="14" max="14" width="18" style="1" customWidth="1"/>
    <col min="15" max="15" width="17" style="1" customWidth="1"/>
    <col min="16" max="16" width="18" style="1" customWidth="1"/>
    <col min="17" max="17" width="16" style="1" customWidth="1"/>
    <col min="18" max="18" width="17" style="1" customWidth="1"/>
    <col min="19" max="19" width="16" style="1" customWidth="1"/>
    <col min="20" max="20" width="10" style="1" customWidth="1"/>
  </cols>
  <sheetData>
    <row r="1" ht="28" customHeight="1" spans="1:20">
      <c r="A1" s="2" t="s">
        <v>118</v>
      </c>
    </row>
    <row r="2" ht="30" customHeight="1" spans="1:20">
      <c r="A2" s="3" t="s">
        <v>119</v>
      </c>
    </row>
    <row r="3" ht="30" customHeight="1" spans="1:20">
      <c r="A3" s="4" t="s">
        <v>120</v>
      </c>
    </row>
    <row r="4" ht="34" customHeight="1" spans="1:20">
      <c r="A4" s="5" t="s">
        <v>121</v>
      </c>
      <c r="B4" s="5" t="s">
        <v>122</v>
      </c>
      <c r="C4" s="5" t="s">
        <v>123</v>
      </c>
      <c r="D4" s="5" t="s">
        <v>124</v>
      </c>
      <c r="E4" s="5" t="s">
        <v>125</v>
      </c>
      <c r="F4" s="5" t="s">
        <v>126</v>
      </c>
      <c r="G4" s="5" t="s">
        <v>127</v>
      </c>
      <c r="H4" s="5" t="s">
        <v>128</v>
      </c>
      <c r="I4" s="5" t="s">
        <v>129</v>
      </c>
      <c r="J4" s="5" t="s">
        <v>130</v>
      </c>
      <c r="K4" s="5" t="s">
        <v>131</v>
      </c>
      <c r="L4" s="5" t="s">
        <v>132</v>
      </c>
      <c r="M4" s="5" t="s">
        <v>133</v>
      </c>
      <c r="N4" s="5" t="s">
        <v>134</v>
      </c>
      <c r="O4" s="5" t="s">
        <v>135</v>
      </c>
      <c r="P4" s="5" t="s">
        <v>136</v>
      </c>
      <c r="Q4" s="5" t="s">
        <v>137</v>
      </c>
      <c r="R4" s="5" t="s">
        <v>138</v>
      </c>
      <c r="S4" s="5" t="s">
        <v>139</v>
      </c>
      <c r="T4" s="5" t="s">
        <v>140</v>
      </c>
    </row>
    <row r="5" spans="1:20">
      <c r="A5" s="6" t="str">
        <f t="shared" ref="A5:A68" si="0">IF(B5=0.01,"主结果","敏感性")</f>
        <v>敏感性</v>
      </c>
      <c r="B5" s="7">
        <v>0.001</v>
      </c>
      <c r="C5" s="8" t="s">
        <v>46</v>
      </c>
      <c r="D5" s="8" t="s">
        <v>63</v>
      </c>
      <c r="E5" s="8" t="s">
        <v>141</v>
      </c>
      <c r="F5" s="9">
        <v>0.922112</v>
      </c>
      <c r="G5" s="10">
        <v>36</v>
      </c>
      <c r="H5" s="9">
        <v>0.3372615039</v>
      </c>
      <c r="I5" s="9">
        <v>0.3372615039</v>
      </c>
      <c r="J5" s="9">
        <v>0.3372615039</v>
      </c>
      <c r="K5" s="10">
        <v>35</v>
      </c>
      <c r="L5" s="9">
        <v>0.3114478114</v>
      </c>
      <c r="M5" s="10">
        <v>1</v>
      </c>
      <c r="N5" s="10">
        <f t="shared" ref="N5:N68" si="1">G5-M5</f>
        <v>35</v>
      </c>
      <c r="O5" s="11">
        <v>43.62522046</v>
      </c>
      <c r="P5" s="11">
        <v>157.7962963</v>
      </c>
      <c r="Q5" s="12">
        <v>0.02514644949</v>
      </c>
      <c r="R5" s="12">
        <v>0.04598050189</v>
      </c>
      <c r="S5" s="13">
        <v>0.000671760199</v>
      </c>
      <c r="T5" s="10">
        <v>95</v>
      </c>
    </row>
    <row r="6" spans="1:20">
      <c r="A6" s="6" t="str">
        <f t="shared" si="0"/>
        <v>敏感性</v>
      </c>
      <c r="B6" s="7">
        <v>0.001</v>
      </c>
      <c r="C6" s="8" t="s">
        <v>37</v>
      </c>
      <c r="D6" s="8" t="s">
        <v>47</v>
      </c>
      <c r="E6" s="8" t="s">
        <v>142</v>
      </c>
      <c r="F6" s="9">
        <v>0.9445403333</v>
      </c>
      <c r="G6" s="10">
        <v>3</v>
      </c>
      <c r="H6" s="9">
        <v>0.3105125327</v>
      </c>
      <c r="I6" s="9">
        <v>0.3187429854</v>
      </c>
      <c r="J6" s="9">
        <v>0.3125701459</v>
      </c>
      <c r="K6" s="10">
        <v>36</v>
      </c>
      <c r="L6" s="9">
        <v>0.1885521886</v>
      </c>
      <c r="M6" s="10">
        <v>2</v>
      </c>
      <c r="N6" s="10">
        <f t="shared" si="1"/>
        <v>1</v>
      </c>
      <c r="O6" s="11">
        <v>42.42777778</v>
      </c>
      <c r="P6" s="11">
        <v>7.047619048</v>
      </c>
      <c r="Q6" s="12">
        <v>0.02690002695</v>
      </c>
      <c r="R6" s="12">
        <v>0.05225302936</v>
      </c>
      <c r="S6" s="13">
        <v>0.0006930631744</v>
      </c>
      <c r="T6" s="10">
        <v>95</v>
      </c>
    </row>
    <row r="7" spans="1:20">
      <c r="A7" s="6" t="str">
        <f t="shared" si="0"/>
        <v>敏感性</v>
      </c>
      <c r="B7" s="7">
        <v>0.001</v>
      </c>
      <c r="C7" s="8" t="s">
        <v>46</v>
      </c>
      <c r="D7" s="8" t="s">
        <v>54</v>
      </c>
      <c r="E7" s="8" t="s">
        <v>143</v>
      </c>
      <c r="F7" s="9">
        <v>0.938258</v>
      </c>
      <c r="G7" s="10">
        <v>11</v>
      </c>
      <c r="H7" s="9">
        <v>0.7580059858</v>
      </c>
      <c r="I7" s="9">
        <v>0.8333333333</v>
      </c>
      <c r="J7" s="9">
        <v>0.7805475731</v>
      </c>
      <c r="K7" s="10">
        <v>22</v>
      </c>
      <c r="L7" s="9">
        <v>0.06790123457</v>
      </c>
      <c r="M7" s="10">
        <v>3</v>
      </c>
      <c r="N7" s="10">
        <f t="shared" si="1"/>
        <v>8</v>
      </c>
      <c r="O7" s="11">
        <v>47.41666667</v>
      </c>
      <c r="P7" s="11">
        <v>308.1884961</v>
      </c>
      <c r="Q7" s="12">
        <v>0.04619969418</v>
      </c>
      <c r="R7" s="12">
        <v>0.07478247395</v>
      </c>
      <c r="S7" s="13">
        <v>0.0006691865216</v>
      </c>
      <c r="T7" s="10">
        <v>95</v>
      </c>
    </row>
    <row r="8" spans="1:20">
      <c r="A8" s="6" t="str">
        <f t="shared" si="0"/>
        <v>敏感性</v>
      </c>
      <c r="B8" s="7">
        <v>0.001</v>
      </c>
      <c r="C8" s="8" t="s">
        <v>46</v>
      </c>
      <c r="D8" s="8" t="s">
        <v>50</v>
      </c>
      <c r="E8" s="8" t="s">
        <v>144</v>
      </c>
      <c r="F8" s="9">
        <v>0.9332356667</v>
      </c>
      <c r="G8" s="10">
        <v>24</v>
      </c>
      <c r="H8" s="9">
        <v>0.7428170595</v>
      </c>
      <c r="I8" s="9">
        <v>0.8170594837</v>
      </c>
      <c r="J8" s="9">
        <v>0.7742479259</v>
      </c>
      <c r="K8" s="10">
        <v>26</v>
      </c>
      <c r="L8" s="9">
        <v>0.01234567901</v>
      </c>
      <c r="M8" s="10">
        <v>4</v>
      </c>
      <c r="N8" s="10">
        <f t="shared" si="1"/>
        <v>20</v>
      </c>
      <c r="O8" s="11">
        <v>48.66666667</v>
      </c>
      <c r="P8" s="11">
        <v>154.6492304</v>
      </c>
      <c r="Q8" s="12">
        <v>0.07068916127</v>
      </c>
      <c r="R8" s="12">
        <v>0.1189744365</v>
      </c>
      <c r="S8" s="13">
        <v>0.0008270786744</v>
      </c>
      <c r="T8" s="10">
        <v>95</v>
      </c>
    </row>
    <row r="9" spans="1:20">
      <c r="A9" s="6" t="str">
        <f t="shared" si="0"/>
        <v>敏感性</v>
      </c>
      <c r="B9" s="7">
        <v>0.001</v>
      </c>
      <c r="C9" s="8" t="s">
        <v>68</v>
      </c>
      <c r="D9" s="8" t="s">
        <v>71</v>
      </c>
      <c r="E9" s="8" t="s">
        <v>145</v>
      </c>
      <c r="F9" s="9">
        <v>0.9355223333</v>
      </c>
      <c r="G9" s="10">
        <v>20</v>
      </c>
      <c r="H9" s="9">
        <v>0.8680588958</v>
      </c>
      <c r="I9" s="9">
        <v>0.9135802469</v>
      </c>
      <c r="J9" s="9">
        <v>0.8846807513</v>
      </c>
      <c r="K9" s="10">
        <v>1</v>
      </c>
      <c r="L9" s="9">
        <v>0</v>
      </c>
      <c r="M9" s="10">
        <v>5</v>
      </c>
      <c r="N9" s="10">
        <f t="shared" si="1"/>
        <v>15</v>
      </c>
      <c r="O9" s="11">
        <v>14.75</v>
      </c>
      <c r="P9" s="11">
        <v>272.8910774</v>
      </c>
      <c r="Q9" s="12">
        <v>0.06157030119</v>
      </c>
      <c r="R9" s="12">
        <v>0.1121066635</v>
      </c>
      <c r="S9" s="13">
        <v>0.0007665899782</v>
      </c>
      <c r="T9" s="10">
        <v>95</v>
      </c>
    </row>
    <row r="10" spans="1:20">
      <c r="A10" s="6" t="str">
        <f t="shared" si="0"/>
        <v>敏感性</v>
      </c>
      <c r="B10" s="7">
        <v>0.001</v>
      </c>
      <c r="C10" s="8" t="s">
        <v>65</v>
      </c>
      <c r="D10" s="8" t="s">
        <v>67</v>
      </c>
      <c r="E10" s="8" t="s">
        <v>146</v>
      </c>
      <c r="F10" s="9">
        <v>0.935761</v>
      </c>
      <c r="G10" s="10">
        <v>18</v>
      </c>
      <c r="H10" s="9">
        <v>0.8574768853</v>
      </c>
      <c r="I10" s="9">
        <v>0.9135802469</v>
      </c>
      <c r="J10" s="9">
        <v>0.8773999663</v>
      </c>
      <c r="K10" s="10">
        <v>2</v>
      </c>
      <c r="L10" s="9">
        <v>0</v>
      </c>
      <c r="M10" s="10">
        <v>5</v>
      </c>
      <c r="N10" s="10">
        <f t="shared" si="1"/>
        <v>13</v>
      </c>
      <c r="O10" s="11">
        <v>14.75</v>
      </c>
      <c r="P10" s="11">
        <v>273.8862795</v>
      </c>
      <c r="Q10" s="12">
        <v>0.05884845452</v>
      </c>
      <c r="R10" s="12">
        <v>0.1038195701</v>
      </c>
      <c r="S10" s="13">
        <v>0.0007836610588</v>
      </c>
      <c r="T10" s="10">
        <v>95</v>
      </c>
    </row>
    <row r="11" spans="1:20">
      <c r="A11" s="6" t="str">
        <f t="shared" si="0"/>
        <v>敏感性</v>
      </c>
      <c r="B11" s="7">
        <v>0.001</v>
      </c>
      <c r="C11" s="8" t="s">
        <v>46</v>
      </c>
      <c r="D11" s="8" t="s">
        <v>57</v>
      </c>
      <c r="E11" s="8" t="s">
        <v>147</v>
      </c>
      <c r="F11" s="9">
        <v>0.9422473333</v>
      </c>
      <c r="G11" s="10">
        <v>4</v>
      </c>
      <c r="H11" s="9">
        <v>0.8585858586</v>
      </c>
      <c r="I11" s="9">
        <v>0.8832772166</v>
      </c>
      <c r="J11" s="9">
        <v>0.8685746352</v>
      </c>
      <c r="K11" s="10">
        <v>3</v>
      </c>
      <c r="L11" s="9">
        <v>0</v>
      </c>
      <c r="M11" s="10">
        <v>5</v>
      </c>
      <c r="N11" s="10">
        <f t="shared" si="1"/>
        <v>-1</v>
      </c>
      <c r="O11" s="11">
        <v>21.83333333</v>
      </c>
      <c r="P11" s="11">
        <v>276.1555556</v>
      </c>
      <c r="Q11" s="12">
        <v>0.06035915868</v>
      </c>
      <c r="R11" s="12">
        <v>0.1089016066</v>
      </c>
      <c r="S11" s="13">
        <v>0.0007621192919</v>
      </c>
      <c r="T11" s="10">
        <v>95</v>
      </c>
    </row>
    <row r="12" spans="1:20">
      <c r="A12" s="6" t="str">
        <f t="shared" si="0"/>
        <v>敏感性</v>
      </c>
      <c r="B12" s="7">
        <v>0.001</v>
      </c>
      <c r="C12" s="8" t="s">
        <v>37</v>
      </c>
      <c r="D12" s="8" t="s">
        <v>43</v>
      </c>
      <c r="E12" s="8" t="s">
        <v>148</v>
      </c>
      <c r="F12" s="9">
        <v>0.9322123333</v>
      </c>
      <c r="G12" s="10">
        <v>27</v>
      </c>
      <c r="H12" s="9">
        <v>0.8470952915</v>
      </c>
      <c r="I12" s="9">
        <v>0.8832772166</v>
      </c>
      <c r="J12" s="9">
        <v>0.859656393</v>
      </c>
      <c r="K12" s="10">
        <v>4</v>
      </c>
      <c r="L12" s="9">
        <v>0</v>
      </c>
      <c r="M12" s="10">
        <v>5</v>
      </c>
      <c r="N12" s="10">
        <f t="shared" si="1"/>
        <v>22</v>
      </c>
      <c r="O12" s="11">
        <v>21.83333333</v>
      </c>
      <c r="P12" s="11">
        <v>233.8740741</v>
      </c>
      <c r="Q12" s="12">
        <v>0.05483145942</v>
      </c>
      <c r="R12" s="12">
        <v>0.09756881277</v>
      </c>
      <c r="S12" s="13">
        <v>0.000759761546</v>
      </c>
      <c r="T12" s="10">
        <v>95</v>
      </c>
    </row>
    <row r="13" spans="1:20">
      <c r="A13" s="6" t="str">
        <f t="shared" si="0"/>
        <v>敏感性</v>
      </c>
      <c r="B13" s="7">
        <v>0.001</v>
      </c>
      <c r="C13" s="8" t="s">
        <v>46</v>
      </c>
      <c r="D13" s="8" t="s">
        <v>49</v>
      </c>
      <c r="E13" s="8" t="s">
        <v>149</v>
      </c>
      <c r="F13" s="9">
        <v>0.9374243333</v>
      </c>
      <c r="G13" s="10">
        <v>13</v>
      </c>
      <c r="H13" s="9">
        <v>0.8503554059</v>
      </c>
      <c r="I13" s="9">
        <v>0.8709315376</v>
      </c>
      <c r="J13" s="9">
        <v>0.8590488215</v>
      </c>
      <c r="K13" s="10">
        <v>5</v>
      </c>
      <c r="L13" s="9">
        <v>0</v>
      </c>
      <c r="M13" s="10">
        <v>5</v>
      </c>
      <c r="N13" s="10">
        <f t="shared" si="1"/>
        <v>8</v>
      </c>
      <c r="O13" s="11">
        <v>29.72222222</v>
      </c>
      <c r="P13" s="11">
        <v>240.395809</v>
      </c>
      <c r="Q13" s="12">
        <v>0.0609048176</v>
      </c>
      <c r="R13" s="12">
        <v>0.109863268</v>
      </c>
      <c r="S13" s="13">
        <v>0.0007776876841</v>
      </c>
      <c r="T13" s="10">
        <v>95</v>
      </c>
    </row>
    <row r="14" spans="1:20">
      <c r="A14" s="6" t="str">
        <f t="shared" si="0"/>
        <v>敏感性</v>
      </c>
      <c r="B14" s="7">
        <v>0.001</v>
      </c>
      <c r="C14" s="8" t="s">
        <v>46</v>
      </c>
      <c r="D14" s="8" t="s">
        <v>52</v>
      </c>
      <c r="E14" s="8" t="s">
        <v>150</v>
      </c>
      <c r="F14" s="9">
        <v>0.9276833333</v>
      </c>
      <c r="G14" s="10">
        <v>34</v>
      </c>
      <c r="H14" s="9">
        <v>0.8289655817</v>
      </c>
      <c r="I14" s="9">
        <v>0.8832772166</v>
      </c>
      <c r="J14" s="9">
        <v>0.8509964751</v>
      </c>
      <c r="K14" s="10">
        <v>6</v>
      </c>
      <c r="L14" s="9">
        <v>0</v>
      </c>
      <c r="M14" s="10">
        <v>5</v>
      </c>
      <c r="N14" s="10">
        <f t="shared" si="1"/>
        <v>29</v>
      </c>
      <c r="O14" s="11">
        <v>28.5462963</v>
      </c>
      <c r="P14" s="11">
        <v>138.3601852</v>
      </c>
      <c r="Q14" s="12">
        <v>0.06300022341</v>
      </c>
      <c r="R14" s="12">
        <v>0.1189744365</v>
      </c>
      <c r="S14" s="13">
        <v>0.0007738272498</v>
      </c>
      <c r="T14" s="10">
        <v>95</v>
      </c>
    </row>
    <row r="15" spans="1:20">
      <c r="A15" s="6" t="str">
        <f t="shared" si="0"/>
        <v>敏感性</v>
      </c>
      <c r="B15" s="7">
        <v>0.001</v>
      </c>
      <c r="C15" s="8" t="s">
        <v>46</v>
      </c>
      <c r="D15" s="8" t="s">
        <v>55</v>
      </c>
      <c r="E15" s="8" t="s">
        <v>151</v>
      </c>
      <c r="F15" s="9">
        <v>0.9397596667</v>
      </c>
      <c r="G15" s="10">
        <v>6</v>
      </c>
      <c r="H15" s="9">
        <v>0.8304339693</v>
      </c>
      <c r="I15" s="9">
        <v>0.8888888889</v>
      </c>
      <c r="J15" s="9">
        <v>0.8507776174</v>
      </c>
      <c r="K15" s="10">
        <v>7</v>
      </c>
      <c r="L15" s="9">
        <v>0</v>
      </c>
      <c r="M15" s="10">
        <v>5</v>
      </c>
      <c r="N15" s="10">
        <f t="shared" si="1"/>
        <v>1</v>
      </c>
      <c r="O15" s="11">
        <v>20.16666667</v>
      </c>
      <c r="P15" s="11">
        <v>230.7800224</v>
      </c>
      <c r="Q15" s="12">
        <v>0.06082538391</v>
      </c>
      <c r="R15" s="12">
        <v>0.1072534566</v>
      </c>
      <c r="S15" s="13">
        <v>0.0008075605716</v>
      </c>
      <c r="T15" s="10">
        <v>95</v>
      </c>
    </row>
    <row r="16" spans="1:20">
      <c r="A16" s="6" t="str">
        <f t="shared" si="0"/>
        <v>敏感性</v>
      </c>
      <c r="B16" s="7">
        <v>0.001</v>
      </c>
      <c r="C16" s="8" t="s">
        <v>37</v>
      </c>
      <c r="D16" s="8" t="s">
        <v>45</v>
      </c>
      <c r="E16" s="8" t="s">
        <v>152</v>
      </c>
      <c r="F16" s="9">
        <v>0.9391203333</v>
      </c>
      <c r="G16" s="10">
        <v>9</v>
      </c>
      <c r="H16" s="9">
        <v>0.8372615039</v>
      </c>
      <c r="I16" s="9">
        <v>0.8709315376</v>
      </c>
      <c r="J16" s="9">
        <v>0.849855857</v>
      </c>
      <c r="K16" s="10">
        <v>8</v>
      </c>
      <c r="L16" s="9">
        <v>0</v>
      </c>
      <c r="M16" s="10">
        <v>5</v>
      </c>
      <c r="N16" s="10">
        <f t="shared" si="1"/>
        <v>4</v>
      </c>
      <c r="O16" s="11">
        <v>15.27777778</v>
      </c>
      <c r="P16" s="11">
        <v>239.4517544</v>
      </c>
      <c r="Q16" s="12">
        <v>0.06070233527</v>
      </c>
      <c r="R16" s="12">
        <v>0.1089016066</v>
      </c>
      <c r="S16" s="13">
        <v>0.0007787441543</v>
      </c>
      <c r="T16" s="10">
        <v>95</v>
      </c>
    </row>
    <row r="17" spans="1:20">
      <c r="A17" s="6" t="str">
        <f t="shared" si="0"/>
        <v>敏感性</v>
      </c>
      <c r="B17" s="7">
        <v>0.001</v>
      </c>
      <c r="C17" s="8" t="s">
        <v>68</v>
      </c>
      <c r="D17" s="8" t="s">
        <v>69</v>
      </c>
      <c r="E17" s="8" t="s">
        <v>153</v>
      </c>
      <c r="F17" s="9">
        <v>0.9282393333</v>
      </c>
      <c r="G17" s="10">
        <v>32</v>
      </c>
      <c r="H17" s="9">
        <v>0.8238558424</v>
      </c>
      <c r="I17" s="9">
        <v>0.8832772166</v>
      </c>
      <c r="J17" s="9">
        <v>0.8451940035</v>
      </c>
      <c r="K17" s="10">
        <v>9</v>
      </c>
      <c r="L17" s="9">
        <v>0</v>
      </c>
      <c r="M17" s="10">
        <v>5</v>
      </c>
      <c r="N17" s="10">
        <f t="shared" si="1"/>
        <v>27</v>
      </c>
      <c r="O17" s="11">
        <v>14.75</v>
      </c>
      <c r="P17" s="11">
        <v>169.9787037</v>
      </c>
      <c r="Q17" s="12">
        <v>0.06161069215</v>
      </c>
      <c r="R17" s="12">
        <v>0.1089016066</v>
      </c>
      <c r="S17" s="13">
        <v>0.0007885405845</v>
      </c>
      <c r="T17" s="10">
        <v>95</v>
      </c>
    </row>
    <row r="18" spans="1:20">
      <c r="A18" s="6" t="str">
        <f t="shared" si="0"/>
        <v>敏感性</v>
      </c>
      <c r="B18" s="7">
        <v>0.001</v>
      </c>
      <c r="C18" s="8" t="s">
        <v>46</v>
      </c>
      <c r="D18" s="8" t="s">
        <v>51</v>
      </c>
      <c r="E18" s="8" t="s">
        <v>154</v>
      </c>
      <c r="F18" s="9">
        <v>0.9373393333</v>
      </c>
      <c r="G18" s="10">
        <v>14</v>
      </c>
      <c r="H18" s="9">
        <v>0.8201779702</v>
      </c>
      <c r="I18" s="9">
        <v>0.8832772166</v>
      </c>
      <c r="J18" s="9">
        <v>0.8419529031</v>
      </c>
      <c r="K18" s="10">
        <v>10</v>
      </c>
      <c r="L18" s="9">
        <v>0</v>
      </c>
      <c r="M18" s="10">
        <v>5</v>
      </c>
      <c r="N18" s="10">
        <f t="shared" si="1"/>
        <v>9</v>
      </c>
      <c r="O18" s="11">
        <v>14.75</v>
      </c>
      <c r="P18" s="11">
        <v>255.6712963</v>
      </c>
      <c r="Q18" s="12">
        <v>0.06143095517</v>
      </c>
      <c r="R18" s="12">
        <v>0.1072534566</v>
      </c>
      <c r="S18" s="13">
        <v>0.0007866290568</v>
      </c>
      <c r="T18" s="10">
        <v>95</v>
      </c>
    </row>
    <row r="19" spans="1:20">
      <c r="A19" s="6" t="str">
        <f t="shared" si="0"/>
        <v>敏感性</v>
      </c>
      <c r="B19" s="7">
        <v>0.001</v>
      </c>
      <c r="C19" s="8" t="s">
        <v>33</v>
      </c>
      <c r="D19" s="8" t="s">
        <v>34</v>
      </c>
      <c r="E19" s="8" t="s">
        <v>155</v>
      </c>
      <c r="F19" s="9">
        <v>0.9394566667</v>
      </c>
      <c r="G19" s="10">
        <v>8</v>
      </c>
      <c r="H19" s="9">
        <v>0.8319437764</v>
      </c>
      <c r="I19" s="9">
        <v>0.8529741863</v>
      </c>
      <c r="J19" s="9">
        <v>0.8394543728</v>
      </c>
      <c r="K19" s="10">
        <v>11</v>
      </c>
      <c r="L19" s="9">
        <v>0</v>
      </c>
      <c r="M19" s="10">
        <v>5</v>
      </c>
      <c r="N19" s="10">
        <f t="shared" si="1"/>
        <v>3</v>
      </c>
      <c r="O19" s="11">
        <v>21.83333333</v>
      </c>
      <c r="P19" s="11">
        <v>230.5895062</v>
      </c>
      <c r="Q19" s="12">
        <v>0.0560829929</v>
      </c>
      <c r="R19" s="12">
        <v>0.09816405824</v>
      </c>
      <c r="S19" s="13">
        <v>0.0007695579762</v>
      </c>
      <c r="T19" s="10">
        <v>95</v>
      </c>
    </row>
    <row r="20" spans="1:20">
      <c r="A20" s="6" t="str">
        <f t="shared" si="0"/>
        <v>敏感性</v>
      </c>
      <c r="B20" s="7">
        <v>0.001</v>
      </c>
      <c r="C20" s="8" t="s">
        <v>65</v>
      </c>
      <c r="D20" s="8" t="s">
        <v>66</v>
      </c>
      <c r="E20" s="8" t="s">
        <v>156</v>
      </c>
      <c r="F20" s="9">
        <v>0.9338496667</v>
      </c>
      <c r="G20" s="10">
        <v>23</v>
      </c>
      <c r="H20" s="9">
        <v>0.813652397</v>
      </c>
      <c r="I20" s="9">
        <v>0.8709315376</v>
      </c>
      <c r="J20" s="9">
        <v>0.8336433114</v>
      </c>
      <c r="K20" s="10">
        <v>12</v>
      </c>
      <c r="L20" s="9">
        <v>0</v>
      </c>
      <c r="M20" s="10">
        <v>5</v>
      </c>
      <c r="N20" s="10">
        <f t="shared" si="1"/>
        <v>18</v>
      </c>
      <c r="O20" s="11">
        <v>11.70833333</v>
      </c>
      <c r="P20" s="11">
        <v>264.7847953</v>
      </c>
      <c r="Q20" s="12">
        <v>0.05788018531</v>
      </c>
      <c r="R20" s="12">
        <v>0.1013087396</v>
      </c>
      <c r="S20" s="13">
        <v>0.0007900432729</v>
      </c>
      <c r="T20" s="10">
        <v>95</v>
      </c>
    </row>
    <row r="21" spans="1:20">
      <c r="A21" s="6" t="str">
        <f t="shared" si="0"/>
        <v>敏感性</v>
      </c>
      <c r="B21" s="7">
        <v>0.001</v>
      </c>
      <c r="C21" s="8" t="s">
        <v>46</v>
      </c>
      <c r="D21" s="8" t="s">
        <v>157</v>
      </c>
      <c r="E21" s="8" t="s">
        <v>158</v>
      </c>
      <c r="F21" s="9">
        <v>0.9314533333</v>
      </c>
      <c r="G21" s="10">
        <v>30</v>
      </c>
      <c r="H21" s="9">
        <v>0.8195980974</v>
      </c>
      <c r="I21" s="9">
        <v>0.8529741863</v>
      </c>
      <c r="J21" s="9">
        <v>0.8325099283</v>
      </c>
      <c r="K21" s="10">
        <v>13</v>
      </c>
      <c r="L21" s="9">
        <v>0</v>
      </c>
      <c r="M21" s="10">
        <v>5</v>
      </c>
      <c r="N21" s="10">
        <f t="shared" si="1"/>
        <v>25</v>
      </c>
      <c r="O21" s="11">
        <v>21.83333333</v>
      </c>
      <c r="P21" s="11">
        <v>241.3765432</v>
      </c>
      <c r="Q21" s="12">
        <v>0.05741396007</v>
      </c>
      <c r="R21" s="12">
        <v>0.09816405824</v>
      </c>
      <c r="S21" s="13">
        <v>0.0007870378961</v>
      </c>
      <c r="T21" s="10">
        <v>95</v>
      </c>
    </row>
    <row r="22" spans="1:20">
      <c r="A22" s="6" t="str">
        <f t="shared" si="0"/>
        <v>敏感性</v>
      </c>
      <c r="B22" s="7">
        <v>0.001</v>
      </c>
      <c r="C22" s="8" t="s">
        <v>46</v>
      </c>
      <c r="D22" s="8" t="s">
        <v>53</v>
      </c>
      <c r="E22" s="8" t="s">
        <v>159</v>
      </c>
      <c r="F22" s="9">
        <v>0.935943</v>
      </c>
      <c r="G22" s="10">
        <v>17</v>
      </c>
      <c r="H22" s="9">
        <v>0.8181951793</v>
      </c>
      <c r="I22" s="9">
        <v>0.8529741863</v>
      </c>
      <c r="J22" s="9">
        <v>0.8310101421</v>
      </c>
      <c r="K22" s="10">
        <v>14</v>
      </c>
      <c r="L22" s="9">
        <v>0</v>
      </c>
      <c r="M22" s="10">
        <v>5</v>
      </c>
      <c r="N22" s="10">
        <f t="shared" si="1"/>
        <v>12</v>
      </c>
      <c r="O22" s="11">
        <v>14.75</v>
      </c>
      <c r="P22" s="11">
        <v>264.7564815</v>
      </c>
      <c r="Q22" s="12">
        <v>0.05919163111</v>
      </c>
      <c r="R22" s="12">
        <v>0.1015375692</v>
      </c>
      <c r="S22" s="13">
        <v>0.0007998397031</v>
      </c>
      <c r="T22" s="10">
        <v>95</v>
      </c>
    </row>
    <row r="23" spans="1:20">
      <c r="A23" s="6" t="str">
        <f t="shared" si="0"/>
        <v>敏感性</v>
      </c>
      <c r="B23" s="7">
        <v>0.001</v>
      </c>
      <c r="C23" s="8" t="s">
        <v>37</v>
      </c>
      <c r="D23" s="8" t="s">
        <v>42</v>
      </c>
      <c r="E23" s="8" t="s">
        <v>160</v>
      </c>
      <c r="F23" s="9">
        <v>0.9382506667</v>
      </c>
      <c r="G23" s="10">
        <v>12</v>
      </c>
      <c r="H23" s="9">
        <v>0.7993793758</v>
      </c>
      <c r="I23" s="9">
        <v>0.8709315376</v>
      </c>
      <c r="J23" s="9">
        <v>0.8264817487</v>
      </c>
      <c r="K23" s="10">
        <v>15</v>
      </c>
      <c r="L23" s="9">
        <v>0</v>
      </c>
      <c r="M23" s="10">
        <v>5</v>
      </c>
      <c r="N23" s="10">
        <f t="shared" si="1"/>
        <v>7</v>
      </c>
      <c r="O23" s="11"/>
      <c r="P23" s="11">
        <v>208.9261209</v>
      </c>
      <c r="Q23" s="12">
        <v>0.06249817943</v>
      </c>
      <c r="R23" s="12">
        <v>0.1075812671</v>
      </c>
      <c r="S23" s="13">
        <v>0.0007932560763</v>
      </c>
      <c r="T23" s="10">
        <v>95</v>
      </c>
    </row>
    <row r="24" spans="1:20">
      <c r="A24" s="6" t="str">
        <f t="shared" si="0"/>
        <v>敏感性</v>
      </c>
      <c r="B24" s="7">
        <v>0.001</v>
      </c>
      <c r="C24" s="8" t="s">
        <v>37</v>
      </c>
      <c r="D24" s="8" t="s">
        <v>38</v>
      </c>
      <c r="E24" s="8" t="s">
        <v>161</v>
      </c>
      <c r="F24" s="9">
        <v>0.9343213333</v>
      </c>
      <c r="G24" s="10">
        <v>22</v>
      </c>
      <c r="H24" s="9">
        <v>0.8031933087</v>
      </c>
      <c r="I24" s="9">
        <v>0.8585858586</v>
      </c>
      <c r="J24" s="9">
        <v>0.8214720807</v>
      </c>
      <c r="K24" s="10">
        <v>16</v>
      </c>
      <c r="L24" s="9">
        <v>0</v>
      </c>
      <c r="M24" s="10">
        <v>5</v>
      </c>
      <c r="N24" s="10">
        <f t="shared" si="1"/>
        <v>17</v>
      </c>
      <c r="O24" s="11">
        <v>23.70833333</v>
      </c>
      <c r="P24" s="11">
        <v>159.7907407</v>
      </c>
      <c r="Q24" s="12">
        <v>0.05910627695</v>
      </c>
      <c r="R24" s="12">
        <v>0.1058559062</v>
      </c>
      <c r="S24" s="13">
        <v>0.0007908983304</v>
      </c>
      <c r="T24" s="10">
        <v>95</v>
      </c>
    </row>
    <row r="25" spans="1:20">
      <c r="A25" s="6" t="str">
        <f t="shared" si="0"/>
        <v>敏感性</v>
      </c>
      <c r="B25" s="7">
        <v>0.001</v>
      </c>
      <c r="C25" s="8" t="s">
        <v>37</v>
      </c>
      <c r="D25" s="8" t="s">
        <v>44</v>
      </c>
      <c r="E25" s="8" t="s">
        <v>162</v>
      </c>
      <c r="F25" s="9">
        <v>0.938496</v>
      </c>
      <c r="G25" s="10">
        <v>10</v>
      </c>
      <c r="H25" s="9">
        <v>0.8042227834</v>
      </c>
      <c r="I25" s="9">
        <v>0.8462401796</v>
      </c>
      <c r="J25" s="9">
        <v>0.8209876543</v>
      </c>
      <c r="K25" s="10">
        <v>17</v>
      </c>
      <c r="L25" s="9">
        <v>0</v>
      </c>
      <c r="M25" s="10">
        <v>5</v>
      </c>
      <c r="N25" s="10">
        <f t="shared" si="1"/>
        <v>5</v>
      </c>
      <c r="O25" s="11">
        <v>13.41666667</v>
      </c>
      <c r="P25" s="11">
        <v>219.8891068</v>
      </c>
      <c r="Q25" s="12">
        <v>0.06336749359</v>
      </c>
      <c r="R25" s="12">
        <v>0.109863268</v>
      </c>
      <c r="S25" s="13">
        <v>0.000802197449</v>
      </c>
      <c r="T25" s="10">
        <v>95</v>
      </c>
    </row>
    <row r="26" spans="1:20">
      <c r="A26" s="6" t="str">
        <f t="shared" si="0"/>
        <v>敏感性</v>
      </c>
      <c r="B26" s="7">
        <v>0.001</v>
      </c>
      <c r="C26" s="8" t="s">
        <v>68</v>
      </c>
      <c r="D26" s="8" t="s">
        <v>72</v>
      </c>
      <c r="E26" s="8" t="s">
        <v>163</v>
      </c>
      <c r="F26" s="9">
        <v>0.9361943333</v>
      </c>
      <c r="G26" s="10">
        <v>16</v>
      </c>
      <c r="H26" s="9">
        <v>0.8129536102</v>
      </c>
      <c r="I26" s="9">
        <v>0.8282828283</v>
      </c>
      <c r="J26" s="9">
        <v>0.8191238117</v>
      </c>
      <c r="K26" s="10">
        <v>18</v>
      </c>
      <c r="L26" s="9">
        <v>0</v>
      </c>
      <c r="M26" s="10">
        <v>5</v>
      </c>
      <c r="N26" s="10">
        <f t="shared" si="1"/>
        <v>11</v>
      </c>
      <c r="O26" s="11">
        <v>23.95833333</v>
      </c>
      <c r="P26" s="11">
        <v>260.25</v>
      </c>
      <c r="Q26" s="12">
        <v>0.05699134979</v>
      </c>
      <c r="R26" s="12">
        <v>0.1020338337</v>
      </c>
      <c r="S26" s="13">
        <v>0.000790489491</v>
      </c>
      <c r="T26" s="10">
        <v>95</v>
      </c>
    </row>
    <row r="27" spans="1:20">
      <c r="A27" s="6" t="str">
        <f t="shared" si="0"/>
        <v>敏感性</v>
      </c>
      <c r="B27" s="7">
        <v>0.001</v>
      </c>
      <c r="C27" s="8" t="s">
        <v>68</v>
      </c>
      <c r="D27" s="8" t="s">
        <v>70</v>
      </c>
      <c r="E27" s="8" t="s">
        <v>164</v>
      </c>
      <c r="F27" s="9">
        <v>0.935603</v>
      </c>
      <c r="G27" s="10">
        <v>19</v>
      </c>
      <c r="H27" s="9">
        <v>0.8048674576</v>
      </c>
      <c r="I27" s="9">
        <v>0.8406285073</v>
      </c>
      <c r="J27" s="9">
        <v>0.8181990849</v>
      </c>
      <c r="K27" s="10">
        <v>19</v>
      </c>
      <c r="L27" s="9">
        <v>0</v>
      </c>
      <c r="M27" s="10">
        <v>5</v>
      </c>
      <c r="N27" s="10">
        <f t="shared" si="1"/>
        <v>14</v>
      </c>
      <c r="O27" s="11">
        <v>14.75</v>
      </c>
      <c r="P27" s="11">
        <v>218.7858999</v>
      </c>
      <c r="Q27" s="12">
        <v>0.06504163736</v>
      </c>
      <c r="R27" s="12">
        <v>0.113525984</v>
      </c>
      <c r="S27" s="13">
        <v>0.0007930112708</v>
      </c>
      <c r="T27" s="10">
        <v>95</v>
      </c>
    </row>
    <row r="28" spans="1:20">
      <c r="A28" s="6" t="str">
        <f t="shared" si="0"/>
        <v>敏感性</v>
      </c>
      <c r="B28" s="7">
        <v>0.001</v>
      </c>
      <c r="C28" s="8" t="s">
        <v>37</v>
      </c>
      <c r="D28" s="8" t="s">
        <v>48</v>
      </c>
      <c r="E28" s="8" t="s">
        <v>165</v>
      </c>
      <c r="F28" s="9">
        <v>0.9302763333</v>
      </c>
      <c r="G28" s="10">
        <v>31</v>
      </c>
      <c r="H28" s="9">
        <v>0.7892910587</v>
      </c>
      <c r="I28" s="9">
        <v>0.8709315376</v>
      </c>
      <c r="J28" s="9">
        <v>0.8178958901</v>
      </c>
      <c r="K28" s="10">
        <v>20</v>
      </c>
      <c r="L28" s="9">
        <v>0</v>
      </c>
      <c r="M28" s="10">
        <v>5</v>
      </c>
      <c r="N28" s="10">
        <f t="shared" si="1"/>
        <v>26</v>
      </c>
      <c r="O28" s="11">
        <v>11.44444444</v>
      </c>
      <c r="P28" s="11">
        <v>210.4892788</v>
      </c>
      <c r="Q28" s="12">
        <v>0.06104551187</v>
      </c>
      <c r="R28" s="12">
        <v>0.1045060587</v>
      </c>
      <c r="S28" s="13">
        <v>0.0008343907036</v>
      </c>
      <c r="T28" s="10">
        <v>95</v>
      </c>
    </row>
    <row r="29" spans="1:20">
      <c r="A29" s="6" t="str">
        <f t="shared" si="0"/>
        <v>敏感性</v>
      </c>
      <c r="B29" s="7">
        <v>0.001</v>
      </c>
      <c r="C29" s="8" t="s">
        <v>37</v>
      </c>
      <c r="D29" s="8" t="s">
        <v>41</v>
      </c>
      <c r="E29" s="8" t="s">
        <v>166</v>
      </c>
      <c r="F29" s="9">
        <v>0.936701</v>
      </c>
      <c r="G29" s="10">
        <v>15</v>
      </c>
      <c r="H29" s="9">
        <v>0.8074728769</v>
      </c>
      <c r="I29" s="9">
        <v>0.8282828283</v>
      </c>
      <c r="J29" s="9">
        <v>0.8148896371</v>
      </c>
      <c r="K29" s="10">
        <v>21</v>
      </c>
      <c r="L29" s="9">
        <v>0</v>
      </c>
      <c r="M29" s="10">
        <v>5</v>
      </c>
      <c r="N29" s="10">
        <f t="shared" si="1"/>
        <v>10</v>
      </c>
      <c r="O29" s="11">
        <v>19.16666667</v>
      </c>
      <c r="P29" s="11">
        <v>247.4259259</v>
      </c>
      <c r="Q29" s="12">
        <v>0.06243961535</v>
      </c>
      <c r="R29" s="12">
        <v>0.1092680225</v>
      </c>
      <c r="S29" s="13">
        <v>0.0007930112708</v>
      </c>
      <c r="T29" s="10">
        <v>95</v>
      </c>
    </row>
    <row r="30" spans="1:20">
      <c r="A30" s="6" t="str">
        <f t="shared" si="0"/>
        <v>敏感性</v>
      </c>
      <c r="B30" s="7">
        <v>0.001</v>
      </c>
      <c r="C30" s="8" t="s">
        <v>33</v>
      </c>
      <c r="D30" s="8" t="s">
        <v>36</v>
      </c>
      <c r="E30" s="8" t="s">
        <v>167</v>
      </c>
      <c r="F30" s="9">
        <v>0.931959</v>
      </c>
      <c r="G30" s="10">
        <v>28</v>
      </c>
      <c r="H30" s="9">
        <v>0.7504676394</v>
      </c>
      <c r="I30" s="9">
        <v>0.8529741863</v>
      </c>
      <c r="J30" s="9">
        <v>0.7802923414</v>
      </c>
      <c r="K30" s="10">
        <v>23</v>
      </c>
      <c r="L30" s="9">
        <v>0</v>
      </c>
      <c r="M30" s="10">
        <v>5</v>
      </c>
      <c r="N30" s="10">
        <f t="shared" si="1"/>
        <v>23</v>
      </c>
      <c r="O30" s="11">
        <v>19.25</v>
      </c>
      <c r="P30" s="11">
        <v>313.7570988</v>
      </c>
      <c r="Q30" s="12">
        <v>0.0672386947</v>
      </c>
      <c r="R30" s="12">
        <v>0.1079399452</v>
      </c>
      <c r="S30" s="13">
        <v>0.0008908549316</v>
      </c>
      <c r="T30" s="10">
        <v>95</v>
      </c>
    </row>
    <row r="31" spans="1:20">
      <c r="A31" s="6" t="str">
        <f t="shared" si="0"/>
        <v>敏感性</v>
      </c>
      <c r="B31" s="7">
        <v>0.001</v>
      </c>
      <c r="C31" s="8" t="s">
        <v>73</v>
      </c>
      <c r="D31" s="8" t="s">
        <v>74</v>
      </c>
      <c r="E31" s="8" t="s">
        <v>168</v>
      </c>
      <c r="F31" s="9">
        <v>0.931533</v>
      </c>
      <c r="G31" s="10">
        <v>29</v>
      </c>
      <c r="H31" s="9">
        <v>0.7622521511</v>
      </c>
      <c r="I31" s="9">
        <v>0.810325477</v>
      </c>
      <c r="J31" s="9">
        <v>0.7784137673</v>
      </c>
      <c r="K31" s="10">
        <v>24</v>
      </c>
      <c r="L31" s="9">
        <v>0</v>
      </c>
      <c r="M31" s="10">
        <v>5</v>
      </c>
      <c r="N31" s="10">
        <f t="shared" si="1"/>
        <v>24</v>
      </c>
      <c r="O31" s="11">
        <v>17.36666667</v>
      </c>
      <c r="P31" s="11">
        <v>214.5386209</v>
      </c>
      <c r="Q31" s="12">
        <v>0.05234926207</v>
      </c>
      <c r="R31" s="12">
        <v>0.08860926302</v>
      </c>
      <c r="S31" s="13">
        <v>0.0008198787816</v>
      </c>
      <c r="T31" s="10">
        <v>95</v>
      </c>
    </row>
    <row r="32" spans="1:20">
      <c r="A32" s="6" t="str">
        <f t="shared" si="0"/>
        <v>敏感性</v>
      </c>
      <c r="B32" s="7">
        <v>0.001</v>
      </c>
      <c r="C32" s="8" t="s">
        <v>33</v>
      </c>
      <c r="D32" s="8" t="s">
        <v>35</v>
      </c>
      <c r="E32" s="8" t="s">
        <v>169</v>
      </c>
      <c r="F32" s="9">
        <v>0.9331393333</v>
      </c>
      <c r="G32" s="10">
        <v>25</v>
      </c>
      <c r="H32" s="9">
        <v>0.7503741115</v>
      </c>
      <c r="I32" s="9">
        <v>0.8159371493</v>
      </c>
      <c r="J32" s="9">
        <v>0.7757090646</v>
      </c>
      <c r="K32" s="10">
        <v>25</v>
      </c>
      <c r="L32" s="9">
        <v>0</v>
      </c>
      <c r="M32" s="10">
        <v>5</v>
      </c>
      <c r="N32" s="10">
        <f t="shared" si="1"/>
        <v>20</v>
      </c>
      <c r="O32" s="11">
        <v>21.29166667</v>
      </c>
      <c r="P32" s="11">
        <v>126.817175</v>
      </c>
      <c r="Q32" s="12">
        <v>0.06612973123</v>
      </c>
      <c r="R32" s="12">
        <v>0.1131595681</v>
      </c>
      <c r="S32" s="13">
        <v>0.0008196773689</v>
      </c>
      <c r="T32" s="10">
        <v>95</v>
      </c>
    </row>
    <row r="33" spans="1:20">
      <c r="A33" s="6" t="str">
        <f t="shared" si="0"/>
        <v>敏感性</v>
      </c>
      <c r="B33" s="7">
        <v>0.001</v>
      </c>
      <c r="C33" s="8" t="s">
        <v>37</v>
      </c>
      <c r="D33" s="8" t="s">
        <v>170</v>
      </c>
      <c r="E33" s="8" t="s">
        <v>171</v>
      </c>
      <c r="F33" s="9">
        <v>0.9330516667</v>
      </c>
      <c r="G33" s="10">
        <v>26</v>
      </c>
      <c r="H33" s="9">
        <v>0.7169846614</v>
      </c>
      <c r="I33" s="9">
        <v>0.785634119</v>
      </c>
      <c r="J33" s="9">
        <v>0.742787665</v>
      </c>
      <c r="K33" s="10">
        <v>27</v>
      </c>
      <c r="L33" s="9">
        <v>0</v>
      </c>
      <c r="M33" s="10">
        <v>5</v>
      </c>
      <c r="N33" s="10">
        <f t="shared" si="1"/>
        <v>21</v>
      </c>
      <c r="O33" s="11">
        <v>15.29166667</v>
      </c>
      <c r="P33" s="11">
        <v>121.249183</v>
      </c>
      <c r="Q33" s="12">
        <v>0.06673530248</v>
      </c>
      <c r="R33" s="12">
        <v>0.1126633036</v>
      </c>
      <c r="S33" s="13">
        <v>0.0008671942102</v>
      </c>
      <c r="T33" s="10">
        <v>95</v>
      </c>
    </row>
    <row r="34" spans="1:20">
      <c r="A34" s="6" t="str">
        <f t="shared" si="0"/>
        <v>敏感性</v>
      </c>
      <c r="B34" s="7">
        <v>0.001</v>
      </c>
      <c r="C34" s="8" t="s">
        <v>46</v>
      </c>
      <c r="D34" s="8" t="s">
        <v>60</v>
      </c>
      <c r="E34" s="8" t="s">
        <v>172</v>
      </c>
      <c r="F34" s="9">
        <v>0.947993</v>
      </c>
      <c r="G34" s="10">
        <v>1</v>
      </c>
      <c r="H34" s="9">
        <v>0.7080059858</v>
      </c>
      <c r="I34" s="9">
        <v>0.7923681257</v>
      </c>
      <c r="J34" s="9">
        <v>0.7331676554</v>
      </c>
      <c r="K34" s="10">
        <v>28</v>
      </c>
      <c r="L34" s="9">
        <v>0</v>
      </c>
      <c r="M34" s="10">
        <v>5</v>
      </c>
      <c r="N34" s="10">
        <f t="shared" si="1"/>
        <v>-4</v>
      </c>
      <c r="O34" s="11">
        <v>7.333333333</v>
      </c>
      <c r="P34" s="11">
        <v>147.6611111</v>
      </c>
      <c r="Q34" s="12">
        <v>0.06532167764</v>
      </c>
      <c r="R34" s="12">
        <v>0.1067494543</v>
      </c>
      <c r="S34" s="13">
        <v>0.0008503679351</v>
      </c>
      <c r="T34" s="10">
        <v>95</v>
      </c>
    </row>
    <row r="35" spans="1:20">
      <c r="A35" s="6" t="str">
        <f t="shared" si="0"/>
        <v>敏感性</v>
      </c>
      <c r="B35" s="7">
        <v>0.001</v>
      </c>
      <c r="C35" s="8" t="s">
        <v>37</v>
      </c>
      <c r="D35" s="8" t="s">
        <v>40</v>
      </c>
      <c r="E35" s="8" t="s">
        <v>173</v>
      </c>
      <c r="F35" s="9">
        <v>0.946863</v>
      </c>
      <c r="G35" s="10">
        <v>2</v>
      </c>
      <c r="H35" s="9">
        <v>0.7177328844</v>
      </c>
      <c r="I35" s="9">
        <v>0.7177328844</v>
      </c>
      <c r="J35" s="9">
        <v>0.7177328844</v>
      </c>
      <c r="K35" s="10">
        <v>29</v>
      </c>
      <c r="L35" s="9">
        <v>0</v>
      </c>
      <c r="M35" s="10">
        <v>5</v>
      </c>
      <c r="N35" s="10">
        <f t="shared" si="1"/>
        <v>-3</v>
      </c>
      <c r="O35" s="11">
        <v>22</v>
      </c>
      <c r="P35" s="11">
        <v>376.3951389</v>
      </c>
      <c r="Q35" s="12">
        <v>0.03114037398</v>
      </c>
      <c r="R35" s="12">
        <v>0.04978080429</v>
      </c>
      <c r="S35" s="13">
        <v>0.0008640621784</v>
      </c>
      <c r="T35" s="10">
        <v>95</v>
      </c>
    </row>
    <row r="36" spans="1:20">
      <c r="A36" s="6" t="str">
        <f t="shared" si="0"/>
        <v>敏感性</v>
      </c>
      <c r="B36" s="7">
        <v>0.001</v>
      </c>
      <c r="C36" s="8" t="s">
        <v>46</v>
      </c>
      <c r="D36" s="8" t="s">
        <v>58</v>
      </c>
      <c r="E36" s="8" t="s">
        <v>174</v>
      </c>
      <c r="F36" s="9">
        <v>0.935391</v>
      </c>
      <c r="G36" s="10">
        <v>21</v>
      </c>
      <c r="H36" s="9">
        <v>0.7141788253</v>
      </c>
      <c r="I36" s="9">
        <v>0.7182940516</v>
      </c>
      <c r="J36" s="9">
        <v>0.7158249158</v>
      </c>
      <c r="K36" s="10">
        <v>30</v>
      </c>
      <c r="L36" s="9">
        <v>0</v>
      </c>
      <c r="M36" s="10">
        <v>5</v>
      </c>
      <c r="N36" s="10">
        <f t="shared" si="1"/>
        <v>16</v>
      </c>
      <c r="O36" s="11">
        <v>25.83333333</v>
      </c>
      <c r="P36" s="11">
        <v>295.6574074</v>
      </c>
      <c r="Q36" s="12">
        <v>0.03909035826</v>
      </c>
      <c r="R36" s="12">
        <v>0.067523712</v>
      </c>
      <c r="S36" s="13">
        <v>0.0008442245125</v>
      </c>
      <c r="T36" s="10">
        <v>95</v>
      </c>
    </row>
    <row r="37" spans="1:20">
      <c r="A37" s="6" t="str">
        <f t="shared" si="0"/>
        <v>敏感性</v>
      </c>
      <c r="B37" s="7">
        <v>0.001</v>
      </c>
      <c r="C37" s="8" t="s">
        <v>46</v>
      </c>
      <c r="D37" s="8" t="s">
        <v>59</v>
      </c>
      <c r="E37" s="8" t="s">
        <v>175</v>
      </c>
      <c r="F37" s="9">
        <v>0.939694</v>
      </c>
      <c r="G37" s="10">
        <v>7</v>
      </c>
      <c r="H37" s="9">
        <v>0.6565656566</v>
      </c>
      <c r="I37" s="9">
        <v>0.6565656566</v>
      </c>
      <c r="J37" s="9">
        <v>0.6565656566</v>
      </c>
      <c r="K37" s="10">
        <v>31</v>
      </c>
      <c r="L37" s="9">
        <v>0</v>
      </c>
      <c r="M37" s="10">
        <v>5</v>
      </c>
      <c r="N37" s="10">
        <f t="shared" si="1"/>
        <v>2</v>
      </c>
      <c r="O37" s="11">
        <v>9.666666667</v>
      </c>
      <c r="P37" s="11">
        <v>288.882716</v>
      </c>
      <c r="Q37" s="12">
        <v>0.03281451775</v>
      </c>
      <c r="R37" s="12">
        <v>0.05120012479</v>
      </c>
      <c r="S37" s="13">
        <v>0.0008469163402</v>
      </c>
      <c r="T37" s="10">
        <v>95</v>
      </c>
    </row>
    <row r="38" spans="1:20">
      <c r="A38" s="6" t="str">
        <f t="shared" si="0"/>
        <v>敏感性</v>
      </c>
      <c r="B38" s="7">
        <v>0.001</v>
      </c>
      <c r="C38" s="8" t="s">
        <v>46</v>
      </c>
      <c r="D38" s="8" t="s">
        <v>62</v>
      </c>
      <c r="E38" s="8" t="s">
        <v>176</v>
      </c>
      <c r="F38" s="9">
        <v>0.9269896667</v>
      </c>
      <c r="G38" s="10">
        <v>35</v>
      </c>
      <c r="H38" s="9">
        <v>0.6346801347</v>
      </c>
      <c r="I38" s="9">
        <v>0.6498316498</v>
      </c>
      <c r="J38" s="9">
        <v>0.6397306397</v>
      </c>
      <c r="K38" s="10">
        <v>32</v>
      </c>
      <c r="L38" s="9">
        <v>0</v>
      </c>
      <c r="M38" s="10">
        <v>5</v>
      </c>
      <c r="N38" s="10">
        <f t="shared" si="1"/>
        <v>30</v>
      </c>
      <c r="O38" s="11">
        <v>22.44444444</v>
      </c>
      <c r="P38" s="11">
        <v>330.2717593</v>
      </c>
      <c r="Q38" s="12">
        <v>0.04141503647</v>
      </c>
      <c r="R38" s="12">
        <v>0.06106096038</v>
      </c>
      <c r="S38" s="13">
        <v>0.0007320703425</v>
      </c>
      <c r="T38" s="10">
        <v>95</v>
      </c>
    </row>
    <row r="39" spans="1:20">
      <c r="A39" s="6" t="str">
        <f t="shared" si="0"/>
        <v>敏感性</v>
      </c>
      <c r="B39" s="7">
        <v>0.001</v>
      </c>
      <c r="C39" s="8" t="s">
        <v>46</v>
      </c>
      <c r="D39" s="8" t="s">
        <v>64</v>
      </c>
      <c r="E39" s="8" t="s">
        <v>177</v>
      </c>
      <c r="F39" s="9">
        <v>0.940772</v>
      </c>
      <c r="G39" s="10">
        <v>5</v>
      </c>
      <c r="H39" s="9">
        <v>0.5604190049</v>
      </c>
      <c r="I39" s="9">
        <v>0.5645342312</v>
      </c>
      <c r="J39" s="9">
        <v>0.5620650954</v>
      </c>
      <c r="K39" s="10">
        <v>33</v>
      </c>
      <c r="L39" s="9">
        <v>0</v>
      </c>
      <c r="M39" s="10">
        <v>5</v>
      </c>
      <c r="N39" s="10">
        <f t="shared" si="1"/>
        <v>0</v>
      </c>
      <c r="O39" s="11">
        <v>20.875</v>
      </c>
      <c r="P39" s="11">
        <v>356.9337607</v>
      </c>
      <c r="Q39" s="12">
        <v>0.06033828907</v>
      </c>
      <c r="R39" s="12">
        <v>0.09607228145</v>
      </c>
      <c r="S39" s="13">
        <v>0.0009612148155</v>
      </c>
      <c r="T39" s="10">
        <v>95</v>
      </c>
    </row>
    <row r="40" spans="1:20">
      <c r="A40" s="6" t="str">
        <f t="shared" si="0"/>
        <v>敏感性</v>
      </c>
      <c r="B40" s="7">
        <v>0.001</v>
      </c>
      <c r="C40" s="8" t="s">
        <v>46</v>
      </c>
      <c r="D40" s="8" t="s">
        <v>61</v>
      </c>
      <c r="E40" s="8" t="s">
        <v>178</v>
      </c>
      <c r="F40" s="9">
        <v>0.9280213333</v>
      </c>
      <c r="G40" s="10">
        <v>33</v>
      </c>
      <c r="H40" s="9">
        <v>0.55667789</v>
      </c>
      <c r="I40" s="9">
        <v>0.55667789</v>
      </c>
      <c r="J40" s="9">
        <v>0.55667789</v>
      </c>
      <c r="K40" s="10">
        <v>34</v>
      </c>
      <c r="L40" s="9">
        <v>0</v>
      </c>
      <c r="M40" s="10">
        <v>5</v>
      </c>
      <c r="N40" s="10">
        <f t="shared" si="1"/>
        <v>28</v>
      </c>
      <c r="O40" s="11">
        <v>25.88888889</v>
      </c>
      <c r="P40" s="11">
        <v>350.4850088</v>
      </c>
      <c r="Q40" s="12">
        <v>0.0393345798</v>
      </c>
      <c r="R40" s="12">
        <v>0.06096197941</v>
      </c>
      <c r="S40" s="13">
        <v>0.000778165267</v>
      </c>
      <c r="T40" s="10">
        <v>95</v>
      </c>
    </row>
    <row r="41" spans="1:20">
      <c r="A41" s="6" t="str">
        <f t="shared" si="0"/>
        <v>敏感性</v>
      </c>
      <c r="B41" s="7">
        <v>0.005</v>
      </c>
      <c r="C41" s="8" t="s">
        <v>46</v>
      </c>
      <c r="D41" s="8" t="s">
        <v>63</v>
      </c>
      <c r="E41" s="8" t="s">
        <v>141</v>
      </c>
      <c r="F41" s="9">
        <v>0.922112</v>
      </c>
      <c r="G41" s="10">
        <v>36</v>
      </c>
      <c r="H41" s="9">
        <v>0.4082491582</v>
      </c>
      <c r="I41" s="9">
        <v>0.411335578</v>
      </c>
      <c r="J41" s="9">
        <v>0.4095719096</v>
      </c>
      <c r="K41" s="10">
        <v>36</v>
      </c>
      <c r="L41" s="9">
        <v>0.3608305275</v>
      </c>
      <c r="M41" s="10">
        <v>1</v>
      </c>
      <c r="N41" s="10">
        <f t="shared" si="1"/>
        <v>35</v>
      </c>
      <c r="O41" s="11">
        <v>43.65608466</v>
      </c>
      <c r="P41" s="11">
        <v>163.6333333</v>
      </c>
      <c r="Q41" s="12">
        <v>0.02732586122</v>
      </c>
      <c r="R41" s="12">
        <v>0.05037604977</v>
      </c>
      <c r="S41" s="13">
        <v>0.004778880989</v>
      </c>
      <c r="T41" s="10">
        <v>95</v>
      </c>
    </row>
    <row r="42" spans="1:20">
      <c r="A42" s="6" t="str">
        <f t="shared" si="0"/>
        <v>敏感性</v>
      </c>
      <c r="B42" s="7">
        <v>0.005</v>
      </c>
      <c r="C42" s="8" t="s">
        <v>46</v>
      </c>
      <c r="D42" s="8" t="s">
        <v>52</v>
      </c>
      <c r="E42" s="8" t="s">
        <v>150</v>
      </c>
      <c r="F42" s="9">
        <v>0.9276833333</v>
      </c>
      <c r="G42" s="10">
        <v>34</v>
      </c>
      <c r="H42" s="9">
        <v>0.774686236</v>
      </c>
      <c r="I42" s="9">
        <v>1</v>
      </c>
      <c r="J42" s="9">
        <v>0.8572304439</v>
      </c>
      <c r="K42" s="10">
        <v>18</v>
      </c>
      <c r="L42" s="9">
        <v>0.22671156</v>
      </c>
      <c r="M42" s="10">
        <v>2</v>
      </c>
      <c r="N42" s="10">
        <f t="shared" si="1"/>
        <v>32</v>
      </c>
      <c r="O42" s="11">
        <v>33.83333333</v>
      </c>
      <c r="P42" s="11">
        <v>23.68209877</v>
      </c>
      <c r="Q42" s="12">
        <v>0.3894331536</v>
      </c>
      <c r="R42" s="12">
        <v>0.6880622826</v>
      </c>
      <c r="S42" s="13">
        <v>0.004773880823</v>
      </c>
      <c r="T42" s="10">
        <v>95</v>
      </c>
    </row>
    <row r="43" spans="1:20">
      <c r="A43" s="6" t="str">
        <f t="shared" si="0"/>
        <v>敏感性</v>
      </c>
      <c r="B43" s="7">
        <v>0.005</v>
      </c>
      <c r="C43" s="8" t="s">
        <v>37</v>
      </c>
      <c r="D43" s="8" t="s">
        <v>47</v>
      </c>
      <c r="E43" s="8" t="s">
        <v>142</v>
      </c>
      <c r="F43" s="9">
        <v>0.9445403333</v>
      </c>
      <c r="G43" s="10">
        <v>3</v>
      </c>
      <c r="H43" s="9">
        <v>0.4344379643</v>
      </c>
      <c r="I43" s="9">
        <v>0.5841750842</v>
      </c>
      <c r="J43" s="9">
        <v>0.4642773832</v>
      </c>
      <c r="K43" s="10">
        <v>35</v>
      </c>
      <c r="L43" s="9">
        <v>0.2255892256</v>
      </c>
      <c r="M43" s="10">
        <v>3</v>
      </c>
      <c r="N43" s="10">
        <f t="shared" si="1"/>
        <v>0</v>
      </c>
      <c r="O43" s="11">
        <v>41.07407407</v>
      </c>
      <c r="P43" s="11">
        <v>11.27592593</v>
      </c>
      <c r="Q43" s="12">
        <v>0.1299050044</v>
      </c>
      <c r="R43" s="12">
        <v>0.2609417676</v>
      </c>
      <c r="S43" s="13">
        <v>0.004827221524</v>
      </c>
      <c r="T43" s="10">
        <v>95</v>
      </c>
    </row>
    <row r="44" spans="1:20">
      <c r="A44" s="6" t="str">
        <f t="shared" si="0"/>
        <v>敏感性</v>
      </c>
      <c r="B44" s="7">
        <v>0.005</v>
      </c>
      <c r="C44" s="8" t="s">
        <v>46</v>
      </c>
      <c r="D44" s="8" t="s">
        <v>54</v>
      </c>
      <c r="E44" s="8" t="s">
        <v>143</v>
      </c>
      <c r="F44" s="9">
        <v>0.938258</v>
      </c>
      <c r="G44" s="10">
        <v>11</v>
      </c>
      <c r="H44" s="9">
        <v>0.7421323532</v>
      </c>
      <c r="I44" s="9">
        <v>0.962962963</v>
      </c>
      <c r="J44" s="9">
        <v>0.8104688045</v>
      </c>
      <c r="K44" s="10">
        <v>30</v>
      </c>
      <c r="L44" s="9">
        <v>0.1851851852</v>
      </c>
      <c r="M44" s="10">
        <v>4</v>
      </c>
      <c r="N44" s="10">
        <f t="shared" si="1"/>
        <v>7</v>
      </c>
      <c r="O44" s="11">
        <v>39.39506173</v>
      </c>
      <c r="P44" s="11">
        <v>102.4010943</v>
      </c>
      <c r="Q44" s="12">
        <v>0.218570721</v>
      </c>
      <c r="R44" s="12">
        <v>0.3686112062</v>
      </c>
      <c r="S44" s="13">
        <v>0.004867745899</v>
      </c>
      <c r="T44" s="10">
        <v>95</v>
      </c>
    </row>
    <row r="45" spans="1:20">
      <c r="A45" s="6" t="str">
        <f t="shared" si="0"/>
        <v>敏感性</v>
      </c>
      <c r="B45" s="7">
        <v>0.005</v>
      </c>
      <c r="C45" s="8" t="s">
        <v>46</v>
      </c>
      <c r="D45" s="8" t="s">
        <v>50</v>
      </c>
      <c r="E45" s="8" t="s">
        <v>144</v>
      </c>
      <c r="F45" s="9">
        <v>0.9332356667</v>
      </c>
      <c r="G45" s="10">
        <v>24</v>
      </c>
      <c r="H45" s="9">
        <v>0.76070654</v>
      </c>
      <c r="I45" s="9">
        <v>0.987654321</v>
      </c>
      <c r="J45" s="9">
        <v>0.8444687005</v>
      </c>
      <c r="K45" s="10">
        <v>25</v>
      </c>
      <c r="L45" s="9">
        <v>0.06790123457</v>
      </c>
      <c r="M45" s="10">
        <v>5</v>
      </c>
      <c r="N45" s="10">
        <f t="shared" si="1"/>
        <v>19</v>
      </c>
      <c r="O45" s="11">
        <v>37.15509259</v>
      </c>
      <c r="P45" s="11">
        <v>40.67424242</v>
      </c>
      <c r="Q45" s="12">
        <v>0.4006305946</v>
      </c>
      <c r="R45" s="12">
        <v>0.6911683586</v>
      </c>
      <c r="S45" s="13">
        <v>0.004815067347</v>
      </c>
      <c r="T45" s="10">
        <v>95</v>
      </c>
    </row>
    <row r="46" spans="1:20">
      <c r="A46" s="6" t="str">
        <f t="shared" si="0"/>
        <v>敏感性</v>
      </c>
      <c r="B46" s="7">
        <v>0.005</v>
      </c>
      <c r="C46" s="8" t="s">
        <v>37</v>
      </c>
      <c r="D46" s="8" t="s">
        <v>43</v>
      </c>
      <c r="E46" s="8" t="s">
        <v>148</v>
      </c>
      <c r="F46" s="9">
        <v>0.9322123333</v>
      </c>
      <c r="G46" s="10">
        <v>27</v>
      </c>
      <c r="H46" s="9">
        <v>0.8294947887</v>
      </c>
      <c r="I46" s="9">
        <v>1</v>
      </c>
      <c r="J46" s="9">
        <v>0.8935762146</v>
      </c>
      <c r="K46" s="10">
        <v>4</v>
      </c>
      <c r="L46" s="9">
        <v>0.05555555556</v>
      </c>
      <c r="M46" s="10">
        <v>6</v>
      </c>
      <c r="N46" s="10">
        <f t="shared" si="1"/>
        <v>21</v>
      </c>
      <c r="O46" s="11">
        <v>29.33333333</v>
      </c>
      <c r="P46" s="11">
        <v>79.43359521</v>
      </c>
      <c r="Q46" s="12">
        <v>0.2981903884</v>
      </c>
      <c r="R46" s="12">
        <v>0.5142621674</v>
      </c>
      <c r="S46" s="13">
        <v>0.004745591395</v>
      </c>
      <c r="T46" s="10">
        <v>95</v>
      </c>
    </row>
    <row r="47" spans="1:20">
      <c r="A47" s="6" t="str">
        <f t="shared" si="0"/>
        <v>敏感性</v>
      </c>
      <c r="B47" s="7">
        <v>0.005</v>
      </c>
      <c r="C47" s="8" t="s">
        <v>33</v>
      </c>
      <c r="D47" s="8" t="s">
        <v>34</v>
      </c>
      <c r="E47" s="8" t="s">
        <v>155</v>
      </c>
      <c r="F47" s="9">
        <v>0.9394566667</v>
      </c>
      <c r="G47" s="10">
        <v>8</v>
      </c>
      <c r="H47" s="9">
        <v>0.824826588</v>
      </c>
      <c r="I47" s="9">
        <v>0.9696969697</v>
      </c>
      <c r="J47" s="9">
        <v>0.8803029575</v>
      </c>
      <c r="K47" s="10">
        <v>11</v>
      </c>
      <c r="L47" s="9">
        <v>0.05555555556</v>
      </c>
      <c r="M47" s="10">
        <v>6</v>
      </c>
      <c r="N47" s="10">
        <f t="shared" si="1"/>
        <v>2</v>
      </c>
      <c r="O47" s="11">
        <v>27.38888889</v>
      </c>
      <c r="P47" s="11">
        <v>88.32098765</v>
      </c>
      <c r="Q47" s="12">
        <v>0.2953083261</v>
      </c>
      <c r="R47" s="12">
        <v>0.5091324281</v>
      </c>
      <c r="S47" s="13">
        <v>0.004764041</v>
      </c>
      <c r="T47" s="10">
        <v>95</v>
      </c>
    </row>
    <row r="48" spans="1:20">
      <c r="A48" s="6" t="str">
        <f t="shared" si="0"/>
        <v>敏感性</v>
      </c>
      <c r="B48" s="7">
        <v>0.005</v>
      </c>
      <c r="C48" s="8" t="s">
        <v>46</v>
      </c>
      <c r="D48" s="8" t="s">
        <v>157</v>
      </c>
      <c r="E48" s="8" t="s">
        <v>158</v>
      </c>
      <c r="F48" s="9">
        <v>0.9314533333</v>
      </c>
      <c r="G48" s="10">
        <v>30</v>
      </c>
      <c r="H48" s="9">
        <v>0.808437319</v>
      </c>
      <c r="I48" s="9">
        <v>1</v>
      </c>
      <c r="J48" s="9">
        <v>0.8741601656</v>
      </c>
      <c r="K48" s="10">
        <v>14</v>
      </c>
      <c r="L48" s="9">
        <v>0.05555555556</v>
      </c>
      <c r="M48" s="10">
        <v>6</v>
      </c>
      <c r="N48" s="10">
        <f t="shared" si="1"/>
        <v>24</v>
      </c>
      <c r="O48" s="11">
        <v>41.83333333</v>
      </c>
      <c r="P48" s="11">
        <v>82.10783764</v>
      </c>
      <c r="Q48" s="12">
        <v>0.299204969</v>
      </c>
      <c r="R48" s="12">
        <v>0.4987963258</v>
      </c>
      <c r="S48" s="13">
        <v>0.004767542001</v>
      </c>
      <c r="T48" s="10">
        <v>95</v>
      </c>
    </row>
    <row r="49" spans="1:20">
      <c r="A49" s="6" t="str">
        <f t="shared" si="0"/>
        <v>敏感性</v>
      </c>
      <c r="B49" s="7">
        <v>0.005</v>
      </c>
      <c r="C49" s="8" t="s">
        <v>46</v>
      </c>
      <c r="D49" s="8" t="s">
        <v>53</v>
      </c>
      <c r="E49" s="8" t="s">
        <v>159</v>
      </c>
      <c r="F49" s="9">
        <v>0.935943</v>
      </c>
      <c r="G49" s="10">
        <v>17</v>
      </c>
      <c r="H49" s="9">
        <v>0.8309443321</v>
      </c>
      <c r="I49" s="9">
        <v>1</v>
      </c>
      <c r="J49" s="9">
        <v>0.8889172378</v>
      </c>
      <c r="K49" s="10">
        <v>7</v>
      </c>
      <c r="L49" s="9">
        <v>0.0303030303</v>
      </c>
      <c r="M49" s="10">
        <v>9</v>
      </c>
      <c r="N49" s="10">
        <f t="shared" si="1"/>
        <v>8</v>
      </c>
      <c r="O49" s="11">
        <v>26.25</v>
      </c>
      <c r="P49" s="11">
        <v>127.2394314</v>
      </c>
      <c r="Q49" s="12">
        <v>0.2742616451</v>
      </c>
      <c r="R49" s="12">
        <v>0.473096938</v>
      </c>
      <c r="S49" s="13">
        <v>0.004670786176</v>
      </c>
      <c r="T49" s="10">
        <v>95</v>
      </c>
    </row>
    <row r="50" spans="1:20">
      <c r="A50" s="6" t="str">
        <f t="shared" si="0"/>
        <v>敏感性</v>
      </c>
      <c r="B50" s="7">
        <v>0.005</v>
      </c>
      <c r="C50" s="8" t="s">
        <v>65</v>
      </c>
      <c r="D50" s="8" t="s">
        <v>66</v>
      </c>
      <c r="E50" s="8" t="s">
        <v>156</v>
      </c>
      <c r="F50" s="9">
        <v>0.9338496667</v>
      </c>
      <c r="G50" s="10">
        <v>23</v>
      </c>
      <c r="H50" s="9">
        <v>0.8220991246</v>
      </c>
      <c r="I50" s="9">
        <v>1</v>
      </c>
      <c r="J50" s="9">
        <v>0.8833598393</v>
      </c>
      <c r="K50" s="10">
        <v>8</v>
      </c>
      <c r="L50" s="9">
        <v>0.0303030303</v>
      </c>
      <c r="M50" s="10">
        <v>9</v>
      </c>
      <c r="N50" s="10">
        <f t="shared" si="1"/>
        <v>14</v>
      </c>
      <c r="O50" s="11">
        <v>28.83333333</v>
      </c>
      <c r="P50" s="11">
        <v>69.14683876</v>
      </c>
      <c r="Q50" s="12">
        <v>0.3042638623</v>
      </c>
      <c r="R50" s="12">
        <v>0.5281036598</v>
      </c>
      <c r="S50" s="13">
        <v>0.004692417219</v>
      </c>
      <c r="T50" s="10">
        <v>95</v>
      </c>
    </row>
    <row r="51" spans="1:20">
      <c r="A51" s="6" t="str">
        <f t="shared" si="0"/>
        <v>敏感性</v>
      </c>
      <c r="B51" s="7">
        <v>0.005</v>
      </c>
      <c r="C51" s="8" t="s">
        <v>37</v>
      </c>
      <c r="D51" s="8" t="s">
        <v>38</v>
      </c>
      <c r="E51" s="8" t="s">
        <v>161</v>
      </c>
      <c r="F51" s="9">
        <v>0.9343213333</v>
      </c>
      <c r="G51" s="10">
        <v>22</v>
      </c>
      <c r="H51" s="9">
        <v>0.7855084658</v>
      </c>
      <c r="I51" s="9">
        <v>0.962962963</v>
      </c>
      <c r="J51" s="9">
        <v>0.8476705278</v>
      </c>
      <c r="K51" s="10">
        <v>23</v>
      </c>
      <c r="L51" s="9">
        <v>0.0303030303</v>
      </c>
      <c r="M51" s="10">
        <v>9</v>
      </c>
      <c r="N51" s="10">
        <f t="shared" si="1"/>
        <v>13</v>
      </c>
      <c r="O51" s="11">
        <v>26.62962963</v>
      </c>
      <c r="P51" s="11">
        <v>67.64541246</v>
      </c>
      <c r="Q51" s="12">
        <v>0.2950549601</v>
      </c>
      <c r="R51" s="12">
        <v>0.5088803851</v>
      </c>
      <c r="S51" s="13">
        <v>0.004910866811</v>
      </c>
      <c r="T51" s="10">
        <v>95</v>
      </c>
    </row>
    <row r="52" spans="1:20">
      <c r="A52" s="6" t="str">
        <f t="shared" si="0"/>
        <v>敏感性</v>
      </c>
      <c r="B52" s="7">
        <v>0.005</v>
      </c>
      <c r="C52" s="8" t="s">
        <v>73</v>
      </c>
      <c r="D52" s="8" t="s">
        <v>74</v>
      </c>
      <c r="E52" s="8" t="s">
        <v>168</v>
      </c>
      <c r="F52" s="9">
        <v>0.931533</v>
      </c>
      <c r="G52" s="10">
        <v>29</v>
      </c>
      <c r="H52" s="9">
        <v>0.776789734</v>
      </c>
      <c r="I52" s="9">
        <v>0.9382716049</v>
      </c>
      <c r="J52" s="9">
        <v>0.8237739965</v>
      </c>
      <c r="K52" s="10">
        <v>28</v>
      </c>
      <c r="L52" s="9">
        <v>0.0303030303</v>
      </c>
      <c r="M52" s="10">
        <v>9</v>
      </c>
      <c r="N52" s="10">
        <f t="shared" si="1"/>
        <v>20</v>
      </c>
      <c r="O52" s="11">
        <v>27.3125</v>
      </c>
      <c r="P52" s="11">
        <v>131.6422559</v>
      </c>
      <c r="Q52" s="12">
        <v>0.2121642699</v>
      </c>
      <c r="R52" s="12">
        <v>0.3746016791</v>
      </c>
      <c r="S52" s="13">
        <v>0.004751446619</v>
      </c>
      <c r="T52" s="10">
        <v>95</v>
      </c>
    </row>
    <row r="53" spans="1:20">
      <c r="A53" s="6" t="str">
        <f t="shared" si="0"/>
        <v>敏感性</v>
      </c>
      <c r="B53" s="7">
        <v>0.005</v>
      </c>
      <c r="C53" s="8" t="s">
        <v>37</v>
      </c>
      <c r="D53" s="8" t="s">
        <v>42</v>
      </c>
      <c r="E53" s="8" t="s">
        <v>160</v>
      </c>
      <c r="F53" s="9">
        <v>0.9382506667</v>
      </c>
      <c r="G53" s="10">
        <v>12</v>
      </c>
      <c r="H53" s="9">
        <v>0.8422638011</v>
      </c>
      <c r="I53" s="9">
        <v>0.9450056117</v>
      </c>
      <c r="J53" s="9">
        <v>0.883189346</v>
      </c>
      <c r="K53" s="10">
        <v>9</v>
      </c>
      <c r="L53" s="9">
        <v>0.01234567901</v>
      </c>
      <c r="M53" s="10">
        <v>13</v>
      </c>
      <c r="N53" s="10">
        <f t="shared" si="1"/>
        <v>-1</v>
      </c>
      <c r="O53" s="11">
        <v>29.55555556</v>
      </c>
      <c r="P53" s="11">
        <v>96.23962963</v>
      </c>
      <c r="Q53" s="12">
        <v>0.2882509288</v>
      </c>
      <c r="R53" s="12">
        <v>0.5123788933</v>
      </c>
      <c r="S53" s="13">
        <v>0.004823956823</v>
      </c>
      <c r="T53" s="10">
        <v>95</v>
      </c>
    </row>
    <row r="54" spans="1:20">
      <c r="A54" s="6" t="str">
        <f t="shared" si="0"/>
        <v>敏感性</v>
      </c>
      <c r="B54" s="7">
        <v>0.005</v>
      </c>
      <c r="C54" s="8" t="s">
        <v>37</v>
      </c>
      <c r="D54" s="8" t="s">
        <v>45</v>
      </c>
      <c r="E54" s="8" t="s">
        <v>152</v>
      </c>
      <c r="F54" s="9">
        <v>0.9391203333</v>
      </c>
      <c r="G54" s="10">
        <v>9</v>
      </c>
      <c r="H54" s="9">
        <v>0.8226708347</v>
      </c>
      <c r="I54" s="9">
        <v>0.987654321</v>
      </c>
      <c r="J54" s="9">
        <v>0.8813365744</v>
      </c>
      <c r="K54" s="10">
        <v>10</v>
      </c>
      <c r="L54" s="9">
        <v>0.01234567901</v>
      </c>
      <c r="M54" s="10">
        <v>13</v>
      </c>
      <c r="N54" s="10">
        <f t="shared" si="1"/>
        <v>-4</v>
      </c>
      <c r="O54" s="11">
        <v>26.16666667</v>
      </c>
      <c r="P54" s="11">
        <v>81.95117845</v>
      </c>
      <c r="Q54" s="12">
        <v>0.3096262462</v>
      </c>
      <c r="R54" s="12">
        <v>0.5396793155</v>
      </c>
      <c r="S54" s="13">
        <v>0.004609292907</v>
      </c>
      <c r="T54" s="10">
        <v>95</v>
      </c>
    </row>
    <row r="55" spans="1:20">
      <c r="A55" s="6" t="str">
        <f t="shared" si="0"/>
        <v>敏感性</v>
      </c>
      <c r="B55" s="7">
        <v>0.005</v>
      </c>
      <c r="C55" s="8" t="s">
        <v>33</v>
      </c>
      <c r="D55" s="8" t="s">
        <v>35</v>
      </c>
      <c r="E55" s="8" t="s">
        <v>169</v>
      </c>
      <c r="F55" s="9">
        <v>0.9331393333</v>
      </c>
      <c r="G55" s="10">
        <v>25</v>
      </c>
      <c r="H55" s="9">
        <v>0.7760929273</v>
      </c>
      <c r="I55" s="9">
        <v>1</v>
      </c>
      <c r="J55" s="9">
        <v>0.8483300548</v>
      </c>
      <c r="K55" s="10">
        <v>22</v>
      </c>
      <c r="L55" s="9">
        <v>0.01234567901</v>
      </c>
      <c r="M55" s="10">
        <v>13</v>
      </c>
      <c r="N55" s="10">
        <f t="shared" si="1"/>
        <v>12</v>
      </c>
      <c r="O55" s="11">
        <v>19.17361111</v>
      </c>
      <c r="P55" s="11">
        <v>49.38327722</v>
      </c>
      <c r="Q55" s="12">
        <v>0.3537149422</v>
      </c>
      <c r="R55" s="12">
        <v>0.5902596218</v>
      </c>
      <c r="S55" s="13">
        <v>0.004838840205</v>
      </c>
      <c r="T55" s="10">
        <v>95</v>
      </c>
    </row>
    <row r="56" spans="1:20">
      <c r="A56" s="6" t="str">
        <f t="shared" si="0"/>
        <v>敏感性</v>
      </c>
      <c r="B56" s="7">
        <v>0.005</v>
      </c>
      <c r="C56" s="8" t="s">
        <v>46</v>
      </c>
      <c r="D56" s="8" t="s">
        <v>60</v>
      </c>
      <c r="E56" s="8" t="s">
        <v>172</v>
      </c>
      <c r="F56" s="9">
        <v>0.947993</v>
      </c>
      <c r="G56" s="10">
        <v>1</v>
      </c>
      <c r="H56" s="9">
        <v>0.7822953399</v>
      </c>
      <c r="I56" s="9">
        <v>0.975308642</v>
      </c>
      <c r="J56" s="9">
        <v>0.8460138072</v>
      </c>
      <c r="K56" s="10">
        <v>24</v>
      </c>
      <c r="L56" s="9">
        <v>0.01234567901</v>
      </c>
      <c r="M56" s="10">
        <v>13</v>
      </c>
      <c r="N56" s="10">
        <f t="shared" si="1"/>
        <v>-12</v>
      </c>
      <c r="O56" s="11">
        <v>20.20138889</v>
      </c>
      <c r="P56" s="11">
        <v>78.90545455</v>
      </c>
      <c r="Q56" s="12">
        <v>0.3138296038</v>
      </c>
      <c r="R56" s="12">
        <v>0.5343515305</v>
      </c>
      <c r="S56" s="13">
        <v>0.004658243693</v>
      </c>
      <c r="T56" s="10">
        <v>95</v>
      </c>
    </row>
    <row r="57" spans="1:20">
      <c r="A57" s="6" t="str">
        <f t="shared" si="0"/>
        <v>敏感性</v>
      </c>
      <c r="B57" s="7">
        <v>0.005</v>
      </c>
      <c r="C57" s="8" t="s">
        <v>37</v>
      </c>
      <c r="D57" s="8" t="s">
        <v>170</v>
      </c>
      <c r="E57" s="8" t="s">
        <v>171</v>
      </c>
      <c r="F57" s="9">
        <v>0.9330516667</v>
      </c>
      <c r="G57" s="10">
        <v>26</v>
      </c>
      <c r="H57" s="9">
        <v>0.7477025238</v>
      </c>
      <c r="I57" s="9">
        <v>0.9450056117</v>
      </c>
      <c r="J57" s="9">
        <v>0.8185012654</v>
      </c>
      <c r="K57" s="10">
        <v>29</v>
      </c>
      <c r="L57" s="9">
        <v>0.01234567901</v>
      </c>
      <c r="M57" s="10">
        <v>13</v>
      </c>
      <c r="N57" s="10">
        <f t="shared" si="1"/>
        <v>13</v>
      </c>
      <c r="O57" s="11">
        <v>20.15</v>
      </c>
      <c r="P57" s="11">
        <v>50.58333333</v>
      </c>
      <c r="Q57" s="12">
        <v>0.3052175941</v>
      </c>
      <c r="R57" s="12">
        <v>0.5024177171</v>
      </c>
      <c r="S57" s="13">
        <v>0.004765342275</v>
      </c>
      <c r="T57" s="10">
        <v>95</v>
      </c>
    </row>
    <row r="58" spans="1:20">
      <c r="A58" s="6" t="str">
        <f t="shared" si="0"/>
        <v>敏感性</v>
      </c>
      <c r="B58" s="7">
        <v>0.005</v>
      </c>
      <c r="C58" s="8" t="s">
        <v>46</v>
      </c>
      <c r="D58" s="8" t="s">
        <v>61</v>
      </c>
      <c r="E58" s="8" t="s">
        <v>178</v>
      </c>
      <c r="F58" s="9">
        <v>0.9280213333</v>
      </c>
      <c r="G58" s="10">
        <v>33</v>
      </c>
      <c r="H58" s="9">
        <v>0.593714927</v>
      </c>
      <c r="I58" s="9">
        <v>0.593714927</v>
      </c>
      <c r="J58" s="9">
        <v>0.593714927</v>
      </c>
      <c r="K58" s="10">
        <v>34</v>
      </c>
      <c r="L58" s="9">
        <v>0.01234567901</v>
      </c>
      <c r="M58" s="10">
        <v>13</v>
      </c>
      <c r="N58" s="10">
        <f t="shared" si="1"/>
        <v>20</v>
      </c>
      <c r="O58" s="11">
        <v>29.22222222</v>
      </c>
      <c r="P58" s="11">
        <v>338.3375091</v>
      </c>
      <c r="Q58" s="12">
        <v>0.05965463237</v>
      </c>
      <c r="R58" s="12">
        <v>0.09021387275</v>
      </c>
      <c r="S58" s="13">
        <v>0.00455083638</v>
      </c>
      <c r="T58" s="10">
        <v>95</v>
      </c>
    </row>
    <row r="59" spans="1:20">
      <c r="A59" s="6" t="str">
        <f t="shared" si="0"/>
        <v>敏感性</v>
      </c>
      <c r="B59" s="7">
        <v>0.005</v>
      </c>
      <c r="C59" s="8" t="s">
        <v>46</v>
      </c>
      <c r="D59" s="8" t="s">
        <v>49</v>
      </c>
      <c r="E59" s="8" t="s">
        <v>149</v>
      </c>
      <c r="F59" s="9">
        <v>0.9374243333</v>
      </c>
      <c r="G59" s="10">
        <v>13</v>
      </c>
      <c r="H59" s="9">
        <v>0.852183436</v>
      </c>
      <c r="I59" s="9">
        <v>1</v>
      </c>
      <c r="J59" s="9">
        <v>0.9074246401</v>
      </c>
      <c r="K59" s="10">
        <v>1</v>
      </c>
      <c r="L59" s="9">
        <v>0</v>
      </c>
      <c r="M59" s="10">
        <v>19</v>
      </c>
      <c r="N59" s="10">
        <f t="shared" si="1"/>
        <v>-6</v>
      </c>
      <c r="O59" s="11">
        <v>29.13333333</v>
      </c>
      <c r="P59" s="11">
        <v>106.6715301</v>
      </c>
      <c r="Q59" s="12">
        <v>0.3294450756</v>
      </c>
      <c r="R59" s="12">
        <v>0.5752219312</v>
      </c>
      <c r="S59" s="13">
        <v>0.004773109027</v>
      </c>
      <c r="T59" s="10">
        <v>95</v>
      </c>
    </row>
    <row r="60" spans="1:20">
      <c r="A60" s="6" t="str">
        <f t="shared" si="0"/>
        <v>敏感性</v>
      </c>
      <c r="B60" s="7">
        <v>0.005</v>
      </c>
      <c r="C60" s="8" t="s">
        <v>68</v>
      </c>
      <c r="D60" s="8" t="s">
        <v>71</v>
      </c>
      <c r="E60" s="8" t="s">
        <v>145</v>
      </c>
      <c r="F60" s="9">
        <v>0.9355223333</v>
      </c>
      <c r="G60" s="10">
        <v>20</v>
      </c>
      <c r="H60" s="9">
        <v>0.8371311579</v>
      </c>
      <c r="I60" s="9">
        <v>1</v>
      </c>
      <c r="J60" s="9">
        <v>0.8971099798</v>
      </c>
      <c r="K60" s="10">
        <v>2</v>
      </c>
      <c r="L60" s="9">
        <v>0</v>
      </c>
      <c r="M60" s="10">
        <v>19</v>
      </c>
      <c r="N60" s="10">
        <f t="shared" si="1"/>
        <v>1</v>
      </c>
      <c r="O60" s="11">
        <v>19.43518519</v>
      </c>
      <c r="P60" s="11">
        <v>126.2520576</v>
      </c>
      <c r="Q60" s="12">
        <v>0.3165499247</v>
      </c>
      <c r="R60" s="12">
        <v>0.5574685664</v>
      </c>
      <c r="S60" s="13">
        <v>0.004562423696</v>
      </c>
      <c r="T60" s="10">
        <v>95</v>
      </c>
    </row>
    <row r="61" spans="1:20">
      <c r="A61" s="6" t="str">
        <f t="shared" si="0"/>
        <v>敏感性</v>
      </c>
      <c r="B61" s="7">
        <v>0.005</v>
      </c>
      <c r="C61" s="8" t="s">
        <v>37</v>
      </c>
      <c r="D61" s="8" t="s">
        <v>41</v>
      </c>
      <c r="E61" s="8" t="s">
        <v>166</v>
      </c>
      <c r="F61" s="9">
        <v>0.936701</v>
      </c>
      <c r="G61" s="10">
        <v>15</v>
      </c>
      <c r="H61" s="9">
        <v>0.8373749403</v>
      </c>
      <c r="I61" s="9">
        <v>1</v>
      </c>
      <c r="J61" s="9">
        <v>0.8941217146</v>
      </c>
      <c r="K61" s="10">
        <v>3</v>
      </c>
      <c r="L61" s="9">
        <v>0</v>
      </c>
      <c r="M61" s="10">
        <v>19</v>
      </c>
      <c r="N61" s="10">
        <f t="shared" si="1"/>
        <v>-4</v>
      </c>
      <c r="O61" s="11">
        <v>20.44444444</v>
      </c>
      <c r="P61" s="11">
        <v>90.43930041</v>
      </c>
      <c r="Q61" s="12">
        <v>0.3215509589</v>
      </c>
      <c r="R61" s="12">
        <v>0.5503396531</v>
      </c>
      <c r="S61" s="13">
        <v>0.004742536612</v>
      </c>
      <c r="T61" s="10">
        <v>95</v>
      </c>
    </row>
    <row r="62" spans="1:20">
      <c r="A62" s="6" t="str">
        <f t="shared" si="0"/>
        <v>敏感性</v>
      </c>
      <c r="B62" s="7">
        <v>0.005</v>
      </c>
      <c r="C62" s="8" t="s">
        <v>46</v>
      </c>
      <c r="D62" s="8" t="s">
        <v>55</v>
      </c>
      <c r="E62" s="8" t="s">
        <v>151</v>
      </c>
      <c r="F62" s="9">
        <v>0.9397596667</v>
      </c>
      <c r="G62" s="10">
        <v>6</v>
      </c>
      <c r="H62" s="9">
        <v>0.8360665138</v>
      </c>
      <c r="I62" s="9">
        <v>0.987654321</v>
      </c>
      <c r="J62" s="9">
        <v>0.8921859802</v>
      </c>
      <c r="K62" s="10">
        <v>5</v>
      </c>
      <c r="L62" s="9">
        <v>0</v>
      </c>
      <c r="M62" s="10">
        <v>19</v>
      </c>
      <c r="N62" s="10">
        <f t="shared" si="1"/>
        <v>-13</v>
      </c>
      <c r="O62" s="11">
        <v>15.21666667</v>
      </c>
      <c r="P62" s="11">
        <v>143.1111111</v>
      </c>
      <c r="Q62" s="12">
        <v>0.2735864896</v>
      </c>
      <c r="R62" s="12">
        <v>0.4757656818</v>
      </c>
      <c r="S62" s="13">
        <v>0.004693203533</v>
      </c>
      <c r="T62" s="10">
        <v>95</v>
      </c>
    </row>
    <row r="63" spans="1:20">
      <c r="A63" s="6" t="str">
        <f t="shared" si="0"/>
        <v>敏感性</v>
      </c>
      <c r="B63" s="7">
        <v>0.005</v>
      </c>
      <c r="C63" s="8" t="s">
        <v>65</v>
      </c>
      <c r="D63" s="8" t="s">
        <v>67</v>
      </c>
      <c r="E63" s="8" t="s">
        <v>146</v>
      </c>
      <c r="F63" s="9">
        <v>0.935761</v>
      </c>
      <c r="G63" s="10">
        <v>18</v>
      </c>
      <c r="H63" s="9">
        <v>0.8288581889</v>
      </c>
      <c r="I63" s="9">
        <v>1</v>
      </c>
      <c r="J63" s="9">
        <v>0.8921352324</v>
      </c>
      <c r="K63" s="10">
        <v>6</v>
      </c>
      <c r="L63" s="9">
        <v>0</v>
      </c>
      <c r="M63" s="10">
        <v>19</v>
      </c>
      <c r="N63" s="10">
        <f t="shared" si="1"/>
        <v>-1</v>
      </c>
      <c r="O63" s="11">
        <v>23.30952381</v>
      </c>
      <c r="P63" s="11">
        <v>133.2114665</v>
      </c>
      <c r="Q63" s="12">
        <v>0.3162094446</v>
      </c>
      <c r="R63" s="12">
        <v>0.5510366824</v>
      </c>
      <c r="S63" s="13">
        <v>0.004647295502</v>
      </c>
      <c r="T63" s="10">
        <v>95</v>
      </c>
    </row>
    <row r="64" spans="1:20">
      <c r="A64" s="6" t="str">
        <f t="shared" si="0"/>
        <v>敏感性</v>
      </c>
      <c r="B64" s="7">
        <v>0.005</v>
      </c>
      <c r="C64" s="8" t="s">
        <v>68</v>
      </c>
      <c r="D64" s="8" t="s">
        <v>70</v>
      </c>
      <c r="E64" s="8" t="s">
        <v>164</v>
      </c>
      <c r="F64" s="9">
        <v>0.935603</v>
      </c>
      <c r="G64" s="10">
        <v>19</v>
      </c>
      <c r="H64" s="9">
        <v>0.8106536838</v>
      </c>
      <c r="I64" s="9">
        <v>1</v>
      </c>
      <c r="J64" s="9">
        <v>0.8780084862</v>
      </c>
      <c r="K64" s="10">
        <v>12</v>
      </c>
      <c r="L64" s="9">
        <v>0</v>
      </c>
      <c r="M64" s="10">
        <v>19</v>
      </c>
      <c r="N64" s="10">
        <f t="shared" si="1"/>
        <v>0</v>
      </c>
      <c r="O64" s="11">
        <v>30.3132716</v>
      </c>
      <c r="P64" s="11">
        <v>55.59820426</v>
      </c>
      <c r="Q64" s="12">
        <v>0.338764249</v>
      </c>
      <c r="R64" s="12">
        <v>0.594137135</v>
      </c>
      <c r="S64" s="13">
        <v>0.0047131847</v>
      </c>
      <c r="T64" s="10">
        <v>95</v>
      </c>
    </row>
    <row r="65" spans="1:20">
      <c r="A65" s="6" t="str">
        <f t="shared" si="0"/>
        <v>敏感性</v>
      </c>
      <c r="B65" s="7">
        <v>0.005</v>
      </c>
      <c r="C65" s="8" t="s">
        <v>46</v>
      </c>
      <c r="D65" s="8" t="s">
        <v>51</v>
      </c>
      <c r="E65" s="8" t="s">
        <v>154</v>
      </c>
      <c r="F65" s="9">
        <v>0.9373393333</v>
      </c>
      <c r="G65" s="10">
        <v>14</v>
      </c>
      <c r="H65" s="9">
        <v>0.8123390712</v>
      </c>
      <c r="I65" s="9">
        <v>1</v>
      </c>
      <c r="J65" s="9">
        <v>0.8751384069</v>
      </c>
      <c r="K65" s="10">
        <v>13</v>
      </c>
      <c r="L65" s="9">
        <v>0</v>
      </c>
      <c r="M65" s="10">
        <v>19</v>
      </c>
      <c r="N65" s="10">
        <f t="shared" si="1"/>
        <v>-5</v>
      </c>
      <c r="O65" s="11">
        <v>21.81190476</v>
      </c>
      <c r="P65" s="11">
        <v>136.6766741</v>
      </c>
      <c r="Q65" s="12">
        <v>0.3151663139</v>
      </c>
      <c r="R65" s="12">
        <v>0.5417352898</v>
      </c>
      <c r="S65" s="13">
        <v>0.004668555085</v>
      </c>
      <c r="T65" s="10">
        <v>95</v>
      </c>
    </row>
    <row r="66" spans="1:20">
      <c r="A66" s="6" t="str">
        <f t="shared" si="0"/>
        <v>敏感性</v>
      </c>
      <c r="B66" s="7">
        <v>0.005</v>
      </c>
      <c r="C66" s="8" t="s">
        <v>46</v>
      </c>
      <c r="D66" s="8" t="s">
        <v>57</v>
      </c>
      <c r="E66" s="8" t="s">
        <v>147</v>
      </c>
      <c r="F66" s="9">
        <v>0.9422473333</v>
      </c>
      <c r="G66" s="10">
        <v>4</v>
      </c>
      <c r="H66" s="9">
        <v>0.8034485985</v>
      </c>
      <c r="I66" s="9">
        <v>1</v>
      </c>
      <c r="J66" s="9">
        <v>0.8685506703</v>
      </c>
      <c r="K66" s="10">
        <v>15</v>
      </c>
      <c r="L66" s="9">
        <v>0</v>
      </c>
      <c r="M66" s="10">
        <v>19</v>
      </c>
      <c r="N66" s="10">
        <f t="shared" si="1"/>
        <v>-15</v>
      </c>
      <c r="O66" s="11">
        <v>16.98888889</v>
      </c>
      <c r="P66" s="11">
        <v>147.0002806</v>
      </c>
      <c r="Q66" s="12">
        <v>0.3185544649</v>
      </c>
      <c r="R66" s="12">
        <v>0.5397964914</v>
      </c>
      <c r="S66" s="13">
        <v>0.004655635128</v>
      </c>
      <c r="T66" s="10">
        <v>95</v>
      </c>
    </row>
    <row r="67" spans="1:20">
      <c r="A67" s="6" t="str">
        <f t="shared" si="0"/>
        <v>敏感性</v>
      </c>
      <c r="B67" s="7">
        <v>0.005</v>
      </c>
      <c r="C67" s="8" t="s">
        <v>68</v>
      </c>
      <c r="D67" s="8" t="s">
        <v>69</v>
      </c>
      <c r="E67" s="8" t="s">
        <v>153</v>
      </c>
      <c r="F67" s="9">
        <v>0.9282393333</v>
      </c>
      <c r="G67" s="10">
        <v>32</v>
      </c>
      <c r="H67" s="9">
        <v>0.8024216185</v>
      </c>
      <c r="I67" s="9">
        <v>0.975308642</v>
      </c>
      <c r="J67" s="9">
        <v>0.8655031187</v>
      </c>
      <c r="K67" s="10">
        <v>16</v>
      </c>
      <c r="L67" s="9">
        <v>0</v>
      </c>
      <c r="M67" s="10">
        <v>19</v>
      </c>
      <c r="N67" s="10">
        <f t="shared" si="1"/>
        <v>13</v>
      </c>
      <c r="O67" s="11">
        <v>14.1984127</v>
      </c>
      <c r="P67" s="11">
        <v>90.06929293</v>
      </c>
      <c r="Q67" s="12">
        <v>0.3041207648</v>
      </c>
      <c r="R67" s="12">
        <v>0.5277308657</v>
      </c>
      <c r="S67" s="13">
        <v>0.004697132711</v>
      </c>
      <c r="T67" s="10">
        <v>95</v>
      </c>
    </row>
    <row r="68" spans="1:20">
      <c r="A68" s="6" t="str">
        <f t="shared" si="0"/>
        <v>敏感性</v>
      </c>
      <c r="B68" s="7">
        <v>0.005</v>
      </c>
      <c r="C68" s="8" t="s">
        <v>68</v>
      </c>
      <c r="D68" s="8" t="s">
        <v>72</v>
      </c>
      <c r="E68" s="8" t="s">
        <v>163</v>
      </c>
      <c r="F68" s="9">
        <v>0.9361943333</v>
      </c>
      <c r="G68" s="10">
        <v>16</v>
      </c>
      <c r="H68" s="9">
        <v>0.8005044469</v>
      </c>
      <c r="I68" s="9">
        <v>0.987654321</v>
      </c>
      <c r="J68" s="9">
        <v>0.8646369872</v>
      </c>
      <c r="K68" s="10">
        <v>17</v>
      </c>
      <c r="L68" s="9">
        <v>0</v>
      </c>
      <c r="M68" s="10">
        <v>19</v>
      </c>
      <c r="N68" s="10">
        <f t="shared" si="1"/>
        <v>-3</v>
      </c>
      <c r="O68" s="11">
        <v>14.81604938</v>
      </c>
      <c r="P68" s="11">
        <v>145.4474229</v>
      </c>
      <c r="Q68" s="12">
        <v>0.2886434066</v>
      </c>
      <c r="R68" s="12">
        <v>0.4998379172</v>
      </c>
      <c r="S68" s="13">
        <v>0.004853188093</v>
      </c>
      <c r="T68" s="10">
        <v>95</v>
      </c>
    </row>
    <row r="69" spans="1:20">
      <c r="A69" s="6" t="str">
        <f t="shared" ref="A69:A132" si="2">IF(B69=0.01,"主结果","敏感性")</f>
        <v>敏感性</v>
      </c>
      <c r="B69" s="7">
        <v>0.005</v>
      </c>
      <c r="C69" s="8" t="s">
        <v>37</v>
      </c>
      <c r="D69" s="8" t="s">
        <v>44</v>
      </c>
      <c r="E69" s="8" t="s">
        <v>162</v>
      </c>
      <c r="F69" s="9">
        <v>0.938496</v>
      </c>
      <c r="G69" s="10">
        <v>10</v>
      </c>
      <c r="H69" s="9">
        <v>0.7989308917</v>
      </c>
      <c r="I69" s="9">
        <v>0.962962963</v>
      </c>
      <c r="J69" s="9">
        <v>0.857164446</v>
      </c>
      <c r="K69" s="10">
        <v>19</v>
      </c>
      <c r="L69" s="9">
        <v>0</v>
      </c>
      <c r="M69" s="10">
        <v>19</v>
      </c>
      <c r="N69" s="10">
        <f t="shared" ref="N69:N132" si="3">G69-M69</f>
        <v>-9</v>
      </c>
      <c r="O69" s="11">
        <v>25.99074074</v>
      </c>
      <c r="P69" s="11">
        <v>61.23106061</v>
      </c>
      <c r="Q69" s="12">
        <v>0.3253347527</v>
      </c>
      <c r="R69" s="12">
        <v>0.5636449158</v>
      </c>
      <c r="S69" s="13">
        <v>0.004702904673</v>
      </c>
      <c r="T69" s="10">
        <v>95</v>
      </c>
    </row>
    <row r="70" spans="1:20">
      <c r="A70" s="6" t="str">
        <f t="shared" si="2"/>
        <v>敏感性</v>
      </c>
      <c r="B70" s="7">
        <v>0.005</v>
      </c>
      <c r="C70" s="8" t="s">
        <v>37</v>
      </c>
      <c r="D70" s="8" t="s">
        <v>48</v>
      </c>
      <c r="E70" s="8" t="s">
        <v>165</v>
      </c>
      <c r="F70" s="9">
        <v>0.9302763333</v>
      </c>
      <c r="G70" s="10">
        <v>31</v>
      </c>
      <c r="H70" s="9">
        <v>0.7840470406</v>
      </c>
      <c r="I70" s="9">
        <v>1</v>
      </c>
      <c r="J70" s="9">
        <v>0.8533053922</v>
      </c>
      <c r="K70" s="10">
        <v>20</v>
      </c>
      <c r="L70" s="9">
        <v>0</v>
      </c>
      <c r="M70" s="10">
        <v>19</v>
      </c>
      <c r="N70" s="10">
        <f t="shared" si="3"/>
        <v>12</v>
      </c>
      <c r="O70" s="11">
        <v>19.67592593</v>
      </c>
      <c r="P70" s="11">
        <v>67.05274972</v>
      </c>
      <c r="Q70" s="12">
        <v>0.2866169418</v>
      </c>
      <c r="R70" s="12">
        <v>0.489921641</v>
      </c>
      <c r="S70" s="13">
        <v>0.004838261318</v>
      </c>
      <c r="T70" s="10">
        <v>95</v>
      </c>
    </row>
    <row r="71" spans="1:20">
      <c r="A71" s="6" t="str">
        <f t="shared" si="2"/>
        <v>敏感性</v>
      </c>
      <c r="B71" s="7">
        <v>0.005</v>
      </c>
      <c r="C71" s="8" t="s">
        <v>33</v>
      </c>
      <c r="D71" s="8" t="s">
        <v>36</v>
      </c>
      <c r="E71" s="8" t="s">
        <v>167</v>
      </c>
      <c r="F71" s="9">
        <v>0.931959</v>
      </c>
      <c r="G71" s="10">
        <v>28</v>
      </c>
      <c r="H71" s="9">
        <v>0.798579779</v>
      </c>
      <c r="I71" s="9">
        <v>0.962962963</v>
      </c>
      <c r="J71" s="9">
        <v>0.8531587691</v>
      </c>
      <c r="K71" s="10">
        <v>21</v>
      </c>
      <c r="L71" s="9">
        <v>0</v>
      </c>
      <c r="M71" s="10">
        <v>19</v>
      </c>
      <c r="N71" s="10">
        <f t="shared" si="3"/>
        <v>9</v>
      </c>
      <c r="O71" s="11">
        <v>23.08333333</v>
      </c>
      <c r="P71" s="11">
        <v>145.0380892</v>
      </c>
      <c r="Q71" s="12">
        <v>0.3054875508</v>
      </c>
      <c r="R71" s="12">
        <v>0.4987850127</v>
      </c>
      <c r="S71" s="13">
        <v>0.004759175993</v>
      </c>
      <c r="T71" s="10">
        <v>95</v>
      </c>
    </row>
    <row r="72" spans="1:20">
      <c r="A72" s="6" t="str">
        <f t="shared" si="2"/>
        <v>敏感性</v>
      </c>
      <c r="B72" s="7">
        <v>0.005</v>
      </c>
      <c r="C72" s="8" t="s">
        <v>46</v>
      </c>
      <c r="D72" s="8" t="s">
        <v>58</v>
      </c>
      <c r="E72" s="8" t="s">
        <v>174</v>
      </c>
      <c r="F72" s="9">
        <v>0.935391</v>
      </c>
      <c r="G72" s="10">
        <v>21</v>
      </c>
      <c r="H72" s="9">
        <v>0.79441505</v>
      </c>
      <c r="I72" s="9">
        <v>0.9326599327</v>
      </c>
      <c r="J72" s="9">
        <v>0.8436882048</v>
      </c>
      <c r="K72" s="10">
        <v>26</v>
      </c>
      <c r="L72" s="9">
        <v>0</v>
      </c>
      <c r="M72" s="10">
        <v>19</v>
      </c>
      <c r="N72" s="10">
        <f t="shared" si="3"/>
        <v>2</v>
      </c>
      <c r="O72" s="11">
        <v>26</v>
      </c>
      <c r="P72" s="11">
        <v>190.4763889</v>
      </c>
      <c r="Q72" s="12">
        <v>0.1431632623</v>
      </c>
      <c r="R72" s="12">
        <v>0.246042167</v>
      </c>
      <c r="S72" s="13">
        <v>0.004761487855</v>
      </c>
      <c r="T72" s="10">
        <v>95</v>
      </c>
    </row>
    <row r="73" spans="1:20">
      <c r="A73" s="6" t="str">
        <f t="shared" si="2"/>
        <v>敏感性</v>
      </c>
      <c r="B73" s="7">
        <v>0.005</v>
      </c>
      <c r="C73" s="8" t="s">
        <v>37</v>
      </c>
      <c r="D73" s="8" t="s">
        <v>40</v>
      </c>
      <c r="E73" s="8" t="s">
        <v>173</v>
      </c>
      <c r="F73" s="9">
        <v>0.946863</v>
      </c>
      <c r="G73" s="10">
        <v>2</v>
      </c>
      <c r="H73" s="9">
        <v>0.831369248</v>
      </c>
      <c r="I73" s="9">
        <v>0.8653198653</v>
      </c>
      <c r="J73" s="9">
        <v>0.8426861205</v>
      </c>
      <c r="K73" s="10">
        <v>27</v>
      </c>
      <c r="L73" s="9">
        <v>0</v>
      </c>
      <c r="M73" s="10">
        <v>19</v>
      </c>
      <c r="N73" s="10">
        <f t="shared" si="3"/>
        <v>-17</v>
      </c>
      <c r="O73" s="11">
        <v>22.66666667</v>
      </c>
      <c r="P73" s="11">
        <v>273.9995591</v>
      </c>
      <c r="Q73" s="12">
        <v>0.03331978571</v>
      </c>
      <c r="R73" s="12">
        <v>0.05586310763</v>
      </c>
      <c r="S73" s="13">
        <v>0.004707375359</v>
      </c>
      <c r="T73" s="10">
        <v>95</v>
      </c>
    </row>
    <row r="74" spans="1:20">
      <c r="A74" s="6" t="str">
        <f t="shared" si="2"/>
        <v>敏感性</v>
      </c>
      <c r="B74" s="7">
        <v>0.005</v>
      </c>
      <c r="C74" s="8" t="s">
        <v>46</v>
      </c>
      <c r="D74" s="8" t="s">
        <v>59</v>
      </c>
      <c r="E74" s="8" t="s">
        <v>175</v>
      </c>
      <c r="F74" s="9">
        <v>0.939694</v>
      </c>
      <c r="G74" s="10">
        <v>7</v>
      </c>
      <c r="H74" s="9">
        <v>0.7392817059</v>
      </c>
      <c r="I74" s="9">
        <v>0.8047138047</v>
      </c>
      <c r="J74" s="9">
        <v>0.759446315</v>
      </c>
      <c r="K74" s="10">
        <v>31</v>
      </c>
      <c r="L74" s="9">
        <v>0</v>
      </c>
      <c r="M74" s="10">
        <v>19</v>
      </c>
      <c r="N74" s="10">
        <f t="shared" si="3"/>
        <v>-12</v>
      </c>
      <c r="O74" s="11">
        <v>7.666666667</v>
      </c>
      <c r="P74" s="11">
        <v>246.8201058</v>
      </c>
      <c r="Q74" s="12">
        <v>0.05170329985</v>
      </c>
      <c r="R74" s="12">
        <v>0.08348862109</v>
      </c>
      <c r="S74" s="13">
        <v>0.004789002997</v>
      </c>
      <c r="T74" s="10">
        <v>95</v>
      </c>
    </row>
    <row r="75" spans="1:20">
      <c r="A75" s="6" t="str">
        <f t="shared" si="2"/>
        <v>敏感性</v>
      </c>
      <c r="B75" s="7">
        <v>0.005</v>
      </c>
      <c r="C75" s="8" t="s">
        <v>46</v>
      </c>
      <c r="D75" s="8" t="s">
        <v>62</v>
      </c>
      <c r="E75" s="8" t="s">
        <v>176</v>
      </c>
      <c r="F75" s="9">
        <v>0.9269896667</v>
      </c>
      <c r="G75" s="10">
        <v>35</v>
      </c>
      <c r="H75" s="9">
        <v>0.7144219978</v>
      </c>
      <c r="I75" s="9">
        <v>0.7850729517</v>
      </c>
      <c r="J75" s="9">
        <v>0.7389200648</v>
      </c>
      <c r="K75" s="10">
        <v>32</v>
      </c>
      <c r="L75" s="9">
        <v>0</v>
      </c>
      <c r="M75" s="10">
        <v>19</v>
      </c>
      <c r="N75" s="10">
        <f t="shared" si="3"/>
        <v>16</v>
      </c>
      <c r="O75" s="11">
        <v>23.22222222</v>
      </c>
      <c r="P75" s="11">
        <v>236.0955166</v>
      </c>
      <c r="Q75" s="12">
        <v>0.0888194252</v>
      </c>
      <c r="R75" s="12">
        <v>0.1404137307</v>
      </c>
      <c r="S75" s="13">
        <v>0.004817292424</v>
      </c>
      <c r="T75" s="10">
        <v>95</v>
      </c>
    </row>
    <row r="76" spans="1:20">
      <c r="A76" s="6" t="str">
        <f t="shared" si="2"/>
        <v>敏感性</v>
      </c>
      <c r="B76" s="7">
        <v>0.005</v>
      </c>
      <c r="C76" s="8" t="s">
        <v>46</v>
      </c>
      <c r="D76" s="8" t="s">
        <v>64</v>
      </c>
      <c r="E76" s="8" t="s">
        <v>177</v>
      </c>
      <c r="F76" s="9">
        <v>0.940772</v>
      </c>
      <c r="G76" s="10">
        <v>5</v>
      </c>
      <c r="H76" s="9">
        <v>0.6684332129</v>
      </c>
      <c r="I76" s="9">
        <v>0.7553310887</v>
      </c>
      <c r="J76" s="9">
        <v>0.6960819557</v>
      </c>
      <c r="K76" s="10">
        <v>33</v>
      </c>
      <c r="L76" s="9">
        <v>0</v>
      </c>
      <c r="M76" s="10">
        <v>19</v>
      </c>
      <c r="N76" s="10">
        <f t="shared" si="3"/>
        <v>-14</v>
      </c>
      <c r="O76" s="11">
        <v>21.63888889</v>
      </c>
      <c r="P76" s="11">
        <v>224.4594616</v>
      </c>
      <c r="Q76" s="12">
        <v>0.1688160347</v>
      </c>
      <c r="R76" s="12">
        <v>0.2666300939</v>
      </c>
      <c r="S76" s="13">
        <v>0.004698604034</v>
      </c>
      <c r="T76" s="10">
        <v>95</v>
      </c>
    </row>
    <row r="77" spans="1:20">
      <c r="A77" s="14" t="str">
        <f t="shared" si="2"/>
        <v>主结果</v>
      </c>
      <c r="B77" s="15">
        <v>0.01</v>
      </c>
      <c r="C77" s="16" t="s">
        <v>46</v>
      </c>
      <c r="D77" s="16" t="s">
        <v>63</v>
      </c>
      <c r="E77" s="16" t="s">
        <v>141</v>
      </c>
      <c r="F77" s="17">
        <v>0.922112</v>
      </c>
      <c r="G77" s="18">
        <v>36</v>
      </c>
      <c r="H77" s="17">
        <v>0.3979610924</v>
      </c>
      <c r="I77" s="17">
        <v>0.436026936</v>
      </c>
      <c r="J77" s="17">
        <v>0.4109240554</v>
      </c>
      <c r="K77" s="18">
        <v>36</v>
      </c>
      <c r="L77" s="17">
        <v>0.4163860831</v>
      </c>
      <c r="M77" s="18">
        <v>1</v>
      </c>
      <c r="N77" s="18">
        <f t="shared" si="3"/>
        <v>35</v>
      </c>
      <c r="O77" s="19">
        <v>47.03386243</v>
      </c>
      <c r="P77" s="19">
        <v>192.4722222</v>
      </c>
      <c r="Q77" s="20">
        <v>0.03004770789</v>
      </c>
      <c r="R77" s="20">
        <v>0.05120012479</v>
      </c>
      <c r="S77" s="21">
        <v>0.009575202029</v>
      </c>
      <c r="T77" s="18">
        <v>95</v>
      </c>
    </row>
    <row r="78" spans="1:20">
      <c r="A78" s="14" t="str">
        <f t="shared" si="2"/>
        <v>主结果</v>
      </c>
      <c r="B78" s="15">
        <v>0.01</v>
      </c>
      <c r="C78" s="16" t="s">
        <v>46</v>
      </c>
      <c r="D78" s="16" t="s">
        <v>52</v>
      </c>
      <c r="E78" s="16" t="s">
        <v>150</v>
      </c>
      <c r="F78" s="17">
        <v>0.9276833333</v>
      </c>
      <c r="G78" s="18">
        <v>34</v>
      </c>
      <c r="H78" s="17">
        <v>0.7703121224</v>
      </c>
      <c r="I78" s="17">
        <v>1</v>
      </c>
      <c r="J78" s="17">
        <v>0.8555026849</v>
      </c>
      <c r="K78" s="18">
        <v>22</v>
      </c>
      <c r="L78" s="17">
        <v>0.3120089787</v>
      </c>
      <c r="M78" s="18">
        <v>2</v>
      </c>
      <c r="N78" s="18">
        <f t="shared" si="3"/>
        <v>32</v>
      </c>
      <c r="O78" s="19">
        <v>41.34993734</v>
      </c>
      <c r="P78" s="19">
        <v>9.182940516</v>
      </c>
      <c r="Q78" s="20">
        <v>0.7580089194</v>
      </c>
      <c r="R78" s="20">
        <v>1.341753473</v>
      </c>
      <c r="S78" s="21">
        <v>0.009714620521</v>
      </c>
      <c r="T78" s="18">
        <v>95</v>
      </c>
    </row>
    <row r="79" spans="1:20">
      <c r="A79" s="14" t="str">
        <f t="shared" si="2"/>
        <v>主结果</v>
      </c>
      <c r="B79" s="15">
        <v>0.01</v>
      </c>
      <c r="C79" s="16" t="s">
        <v>37</v>
      </c>
      <c r="D79" s="16" t="s">
        <v>47</v>
      </c>
      <c r="E79" s="16" t="s">
        <v>142</v>
      </c>
      <c r="F79" s="17">
        <v>0.9445403333</v>
      </c>
      <c r="G79" s="18">
        <v>3</v>
      </c>
      <c r="H79" s="17">
        <v>0.5229968952</v>
      </c>
      <c r="I79" s="17">
        <v>0.6088664422</v>
      </c>
      <c r="J79" s="17">
        <v>0.5544492452</v>
      </c>
      <c r="K79" s="18">
        <v>35</v>
      </c>
      <c r="L79" s="17">
        <v>0.2255892256</v>
      </c>
      <c r="M79" s="18">
        <v>3</v>
      </c>
      <c r="N79" s="18">
        <f t="shared" si="3"/>
        <v>0</v>
      </c>
      <c r="O79" s="19">
        <v>41.12962963</v>
      </c>
      <c r="P79" s="19">
        <v>6.505555556</v>
      </c>
      <c r="Q79" s="20">
        <v>0.2599857011</v>
      </c>
      <c r="R79" s="20">
        <v>0.5236433389</v>
      </c>
      <c r="S79" s="21">
        <v>0.00965441401</v>
      </c>
      <c r="T79" s="18">
        <v>95</v>
      </c>
    </row>
    <row r="80" spans="1:20">
      <c r="A80" s="14" t="str">
        <f t="shared" si="2"/>
        <v>主结果</v>
      </c>
      <c r="B80" s="15">
        <v>0.01</v>
      </c>
      <c r="C80" s="16" t="s">
        <v>46</v>
      </c>
      <c r="D80" s="16" t="s">
        <v>54</v>
      </c>
      <c r="E80" s="16" t="s">
        <v>143</v>
      </c>
      <c r="F80" s="17">
        <v>0.938258</v>
      </c>
      <c r="G80" s="18">
        <v>11</v>
      </c>
      <c r="H80" s="17">
        <v>0.7641036</v>
      </c>
      <c r="I80" s="17">
        <v>0.975308642</v>
      </c>
      <c r="J80" s="17">
        <v>0.8352121781</v>
      </c>
      <c r="K80" s="18">
        <v>29</v>
      </c>
      <c r="L80" s="17">
        <v>0.2154882155</v>
      </c>
      <c r="M80" s="18">
        <v>4</v>
      </c>
      <c r="N80" s="18">
        <f t="shared" si="3"/>
        <v>7</v>
      </c>
      <c r="O80" s="19">
        <v>41.42962963</v>
      </c>
      <c r="P80" s="19">
        <v>61.49451178</v>
      </c>
      <c r="Q80" s="20">
        <v>0.3968952813</v>
      </c>
      <c r="R80" s="20">
        <v>0.6827786252</v>
      </c>
      <c r="S80" s="21">
        <v>0.009665690268</v>
      </c>
      <c r="T80" s="18">
        <v>95</v>
      </c>
    </row>
    <row r="81" spans="1:20">
      <c r="A81" s="14" t="str">
        <f t="shared" si="2"/>
        <v>主结果</v>
      </c>
      <c r="B81" s="15">
        <v>0.01</v>
      </c>
      <c r="C81" s="16" t="s">
        <v>46</v>
      </c>
      <c r="D81" s="16" t="s">
        <v>50</v>
      </c>
      <c r="E81" s="16" t="s">
        <v>144</v>
      </c>
      <c r="F81" s="17">
        <v>0.9332356667</v>
      </c>
      <c r="G81" s="18">
        <v>24</v>
      </c>
      <c r="H81" s="17">
        <v>0.7574968062</v>
      </c>
      <c r="I81" s="17">
        <v>1</v>
      </c>
      <c r="J81" s="17">
        <v>0.8481960161</v>
      </c>
      <c r="K81" s="18">
        <v>24</v>
      </c>
      <c r="L81" s="17">
        <v>0.1835016835</v>
      </c>
      <c r="M81" s="18">
        <v>5</v>
      </c>
      <c r="N81" s="18">
        <f t="shared" si="3"/>
        <v>19</v>
      </c>
      <c r="O81" s="19">
        <v>39.23068087</v>
      </c>
      <c r="P81" s="19">
        <v>12.60606061</v>
      </c>
      <c r="Q81" s="20">
        <v>0.8063323352</v>
      </c>
      <c r="R81" s="20">
        <v>1.405484537</v>
      </c>
      <c r="S81" s="21">
        <v>0.009836452971</v>
      </c>
      <c r="T81" s="18">
        <v>95</v>
      </c>
    </row>
    <row r="82" spans="1:20">
      <c r="A82" s="14" t="str">
        <f t="shared" si="2"/>
        <v>主结果</v>
      </c>
      <c r="B82" s="15">
        <v>0.01</v>
      </c>
      <c r="C82" s="16" t="s">
        <v>68</v>
      </c>
      <c r="D82" s="16" t="s">
        <v>70</v>
      </c>
      <c r="E82" s="16" t="s">
        <v>164</v>
      </c>
      <c r="F82" s="17">
        <v>0.935603</v>
      </c>
      <c r="G82" s="18">
        <v>19</v>
      </c>
      <c r="H82" s="17">
        <v>0.8194182695</v>
      </c>
      <c r="I82" s="17">
        <v>1</v>
      </c>
      <c r="J82" s="17">
        <v>0.8894259852</v>
      </c>
      <c r="K82" s="18">
        <v>4</v>
      </c>
      <c r="L82" s="17">
        <v>0.09820426487</v>
      </c>
      <c r="M82" s="18">
        <v>6</v>
      </c>
      <c r="N82" s="18">
        <f t="shared" si="3"/>
        <v>13</v>
      </c>
      <c r="O82" s="19">
        <v>28.74497354</v>
      </c>
      <c r="P82" s="19">
        <v>42.69519267</v>
      </c>
      <c r="Q82" s="20">
        <v>0.6707095793</v>
      </c>
      <c r="R82" s="20">
        <v>1.191369805</v>
      </c>
      <c r="S82" s="21">
        <v>0.009777308944</v>
      </c>
      <c r="T82" s="18">
        <v>95</v>
      </c>
    </row>
    <row r="83" spans="1:20">
      <c r="A83" s="14" t="str">
        <f t="shared" si="2"/>
        <v>主结果</v>
      </c>
      <c r="B83" s="15">
        <v>0.01</v>
      </c>
      <c r="C83" s="16" t="s">
        <v>37</v>
      </c>
      <c r="D83" s="16" t="s">
        <v>43</v>
      </c>
      <c r="E83" s="16" t="s">
        <v>148</v>
      </c>
      <c r="F83" s="17">
        <v>0.9322123333</v>
      </c>
      <c r="G83" s="18">
        <v>27</v>
      </c>
      <c r="H83" s="17">
        <v>0.8058283863</v>
      </c>
      <c r="I83" s="17">
        <v>1</v>
      </c>
      <c r="J83" s="17">
        <v>0.8800689292</v>
      </c>
      <c r="K83" s="18">
        <v>9</v>
      </c>
      <c r="L83" s="17">
        <v>0.09820426487</v>
      </c>
      <c r="M83" s="18">
        <v>6</v>
      </c>
      <c r="N83" s="18">
        <f t="shared" si="3"/>
        <v>21</v>
      </c>
      <c r="O83" s="19">
        <v>31.35416667</v>
      </c>
      <c r="P83" s="19">
        <v>67.26730266</v>
      </c>
      <c r="Q83" s="20">
        <v>0.5505596662</v>
      </c>
      <c r="R83" s="20">
        <v>0.934342293</v>
      </c>
      <c r="S83" s="21">
        <v>0.009637679502</v>
      </c>
      <c r="T83" s="18">
        <v>95</v>
      </c>
    </row>
    <row r="84" spans="1:20">
      <c r="A84" s="14" t="str">
        <f t="shared" si="2"/>
        <v>主结果</v>
      </c>
      <c r="B84" s="15">
        <v>0.01</v>
      </c>
      <c r="C84" s="16" t="s">
        <v>33</v>
      </c>
      <c r="D84" s="16" t="s">
        <v>34</v>
      </c>
      <c r="E84" s="16" t="s">
        <v>155</v>
      </c>
      <c r="F84" s="17">
        <v>0.9394566667</v>
      </c>
      <c r="G84" s="18">
        <v>8</v>
      </c>
      <c r="H84" s="17">
        <v>0.814722283</v>
      </c>
      <c r="I84" s="17">
        <v>1</v>
      </c>
      <c r="J84" s="17">
        <v>0.8764132895</v>
      </c>
      <c r="K84" s="18">
        <v>13</v>
      </c>
      <c r="L84" s="17">
        <v>0.06790123457</v>
      </c>
      <c r="M84" s="18">
        <v>8</v>
      </c>
      <c r="N84" s="18">
        <f t="shared" si="3"/>
        <v>0</v>
      </c>
      <c r="O84" s="19">
        <v>19.6412037</v>
      </c>
      <c r="P84" s="19">
        <v>70.32201646</v>
      </c>
      <c r="Q84" s="20">
        <v>0.569275571</v>
      </c>
      <c r="R84" s="20">
        <v>0.9964436704</v>
      </c>
      <c r="S84" s="21">
        <v>0.009925386624</v>
      </c>
      <c r="T84" s="18">
        <v>95</v>
      </c>
    </row>
    <row r="85" spans="1:20">
      <c r="A85" s="14" t="str">
        <f t="shared" si="2"/>
        <v>主结果</v>
      </c>
      <c r="B85" s="15">
        <v>0.01</v>
      </c>
      <c r="C85" s="16" t="s">
        <v>46</v>
      </c>
      <c r="D85" s="16" t="s">
        <v>157</v>
      </c>
      <c r="E85" s="16" t="s">
        <v>158</v>
      </c>
      <c r="F85" s="17">
        <v>0.9314533333</v>
      </c>
      <c r="G85" s="18">
        <v>30</v>
      </c>
      <c r="H85" s="17">
        <v>0.7733970409</v>
      </c>
      <c r="I85" s="17">
        <v>1</v>
      </c>
      <c r="J85" s="17">
        <v>0.8517701113</v>
      </c>
      <c r="K85" s="18">
        <v>23</v>
      </c>
      <c r="L85" s="17">
        <v>0.06790123457</v>
      </c>
      <c r="M85" s="18">
        <v>8</v>
      </c>
      <c r="N85" s="18">
        <f t="shared" si="3"/>
        <v>22</v>
      </c>
      <c r="O85" s="19">
        <v>37.75231481</v>
      </c>
      <c r="P85" s="19">
        <v>70.87364385</v>
      </c>
      <c r="Q85" s="20">
        <v>0.557371082</v>
      </c>
      <c r="R85" s="20">
        <v>0.9363020056</v>
      </c>
      <c r="S85" s="21">
        <v>0.009746419455</v>
      </c>
      <c r="T85" s="18">
        <v>95</v>
      </c>
    </row>
    <row r="86" spans="1:20">
      <c r="A86" s="14" t="str">
        <f t="shared" si="2"/>
        <v>主结果</v>
      </c>
      <c r="B86" s="15">
        <v>0.01</v>
      </c>
      <c r="C86" s="16" t="s">
        <v>37</v>
      </c>
      <c r="D86" s="16" t="s">
        <v>170</v>
      </c>
      <c r="E86" s="16" t="s">
        <v>171</v>
      </c>
      <c r="F86" s="17">
        <v>0.9330516667</v>
      </c>
      <c r="G86" s="18">
        <v>26</v>
      </c>
      <c r="H86" s="17">
        <v>0.7471960794</v>
      </c>
      <c r="I86" s="17">
        <v>0.987654321</v>
      </c>
      <c r="J86" s="17">
        <v>0.8292506744</v>
      </c>
      <c r="K86" s="18">
        <v>30</v>
      </c>
      <c r="L86" s="17">
        <v>0.06790123457</v>
      </c>
      <c r="M86" s="18">
        <v>8</v>
      </c>
      <c r="N86" s="18">
        <f t="shared" si="3"/>
        <v>18</v>
      </c>
      <c r="O86" s="19">
        <v>25.87457912</v>
      </c>
      <c r="P86" s="19">
        <v>45.48569024</v>
      </c>
      <c r="Q86" s="20">
        <v>0.5528995278</v>
      </c>
      <c r="R86" s="20">
        <v>0.9074701056</v>
      </c>
      <c r="S86" s="21">
        <v>0.009797431284</v>
      </c>
      <c r="T86" s="18">
        <v>95</v>
      </c>
    </row>
    <row r="87" spans="1:20">
      <c r="A87" s="14" t="str">
        <f t="shared" si="2"/>
        <v>主结果</v>
      </c>
      <c r="B87" s="15">
        <v>0.01</v>
      </c>
      <c r="C87" s="16" t="s">
        <v>37</v>
      </c>
      <c r="D87" s="16" t="s">
        <v>38</v>
      </c>
      <c r="E87" s="16" t="s">
        <v>161</v>
      </c>
      <c r="F87" s="17">
        <v>0.9343213333</v>
      </c>
      <c r="G87" s="18">
        <v>22</v>
      </c>
      <c r="H87" s="17">
        <v>0.7746526394</v>
      </c>
      <c r="I87" s="17">
        <v>0.962962963</v>
      </c>
      <c r="J87" s="17">
        <v>0.8371209366</v>
      </c>
      <c r="K87" s="18">
        <v>26</v>
      </c>
      <c r="L87" s="17">
        <v>0.06060606061</v>
      </c>
      <c r="M87" s="18">
        <v>11</v>
      </c>
      <c r="N87" s="18">
        <f t="shared" si="3"/>
        <v>11</v>
      </c>
      <c r="O87" s="19">
        <v>29.29166667</v>
      </c>
      <c r="P87" s="19">
        <v>43.80871212</v>
      </c>
      <c r="Q87" s="20">
        <v>0.504685094</v>
      </c>
      <c r="R87" s="20">
        <v>0.8711271497</v>
      </c>
      <c r="S87" s="21">
        <v>0.009687424943</v>
      </c>
      <c r="T87" s="18">
        <v>95</v>
      </c>
    </row>
    <row r="88" spans="1:20">
      <c r="A88" s="14" t="str">
        <f t="shared" si="2"/>
        <v>主结果</v>
      </c>
      <c r="B88" s="15">
        <v>0.01</v>
      </c>
      <c r="C88" s="16" t="s">
        <v>68</v>
      </c>
      <c r="D88" s="16" t="s">
        <v>71</v>
      </c>
      <c r="E88" s="16" t="s">
        <v>145</v>
      </c>
      <c r="F88" s="17">
        <v>0.9355223333</v>
      </c>
      <c r="G88" s="18">
        <v>20</v>
      </c>
      <c r="H88" s="17">
        <v>0.8189248289</v>
      </c>
      <c r="I88" s="17">
        <v>1</v>
      </c>
      <c r="J88" s="17">
        <v>0.8907216102</v>
      </c>
      <c r="K88" s="18">
        <v>3</v>
      </c>
      <c r="L88" s="17">
        <v>0.04264870932</v>
      </c>
      <c r="M88" s="18">
        <v>12</v>
      </c>
      <c r="N88" s="18">
        <f t="shared" si="3"/>
        <v>8</v>
      </c>
      <c r="O88" s="19">
        <v>22.47089947</v>
      </c>
      <c r="P88" s="19">
        <v>39.13776655</v>
      </c>
      <c r="Q88" s="20">
        <v>0.6408668727</v>
      </c>
      <c r="R88" s="20">
        <v>1.130246421</v>
      </c>
      <c r="S88" s="21">
        <v>0.009880428941</v>
      </c>
      <c r="T88" s="18">
        <v>95</v>
      </c>
    </row>
    <row r="89" spans="1:20">
      <c r="A89" s="14" t="str">
        <f t="shared" si="2"/>
        <v>主结果</v>
      </c>
      <c r="B89" s="15">
        <v>0.01</v>
      </c>
      <c r="C89" s="16" t="s">
        <v>37</v>
      </c>
      <c r="D89" s="16" t="s">
        <v>45</v>
      </c>
      <c r="E89" s="16" t="s">
        <v>152</v>
      </c>
      <c r="F89" s="17">
        <v>0.9391203333</v>
      </c>
      <c r="G89" s="18">
        <v>9</v>
      </c>
      <c r="H89" s="17">
        <v>0.8237995731</v>
      </c>
      <c r="I89" s="17">
        <v>0.987654321</v>
      </c>
      <c r="J89" s="17">
        <v>0.88815316</v>
      </c>
      <c r="K89" s="18">
        <v>5</v>
      </c>
      <c r="L89" s="17">
        <v>0.04264870932</v>
      </c>
      <c r="M89" s="18">
        <v>12</v>
      </c>
      <c r="N89" s="18">
        <f t="shared" si="3"/>
        <v>-3</v>
      </c>
      <c r="O89" s="19">
        <v>28.06527778</v>
      </c>
      <c r="P89" s="19">
        <v>62.54092204</v>
      </c>
      <c r="Q89" s="20">
        <v>0.6107094829</v>
      </c>
      <c r="R89" s="20">
        <v>1.075613686</v>
      </c>
      <c r="S89" s="21">
        <v>0.009857214438</v>
      </c>
      <c r="T89" s="18">
        <v>95</v>
      </c>
    </row>
    <row r="90" spans="1:20">
      <c r="A90" s="14" t="str">
        <f t="shared" si="2"/>
        <v>主结果</v>
      </c>
      <c r="B90" s="15">
        <v>0.01</v>
      </c>
      <c r="C90" s="16" t="s">
        <v>46</v>
      </c>
      <c r="D90" s="16" t="s">
        <v>53</v>
      </c>
      <c r="E90" s="16" t="s">
        <v>159</v>
      </c>
      <c r="F90" s="17">
        <v>0.935943</v>
      </c>
      <c r="G90" s="18">
        <v>17</v>
      </c>
      <c r="H90" s="17">
        <v>0.8174999718</v>
      </c>
      <c r="I90" s="17">
        <v>1</v>
      </c>
      <c r="J90" s="17">
        <v>0.8845546614</v>
      </c>
      <c r="K90" s="18">
        <v>6</v>
      </c>
      <c r="L90" s="17">
        <v>0.04264870932</v>
      </c>
      <c r="M90" s="18">
        <v>12</v>
      </c>
      <c r="N90" s="18">
        <f t="shared" si="3"/>
        <v>5</v>
      </c>
      <c r="O90" s="19">
        <v>22.86111111</v>
      </c>
      <c r="P90" s="19">
        <v>115.8720539</v>
      </c>
      <c r="Q90" s="20">
        <v>0.5476696302</v>
      </c>
      <c r="R90" s="20">
        <v>0.9594892868</v>
      </c>
      <c r="S90" s="21">
        <v>0.009836809913</v>
      </c>
      <c r="T90" s="18">
        <v>95</v>
      </c>
    </row>
    <row r="91" spans="1:20">
      <c r="A91" s="14" t="str">
        <f t="shared" si="2"/>
        <v>主结果</v>
      </c>
      <c r="B91" s="15">
        <v>0.01</v>
      </c>
      <c r="C91" s="16" t="s">
        <v>65</v>
      </c>
      <c r="D91" s="16" t="s">
        <v>66</v>
      </c>
      <c r="E91" s="16" t="s">
        <v>156</v>
      </c>
      <c r="F91" s="17">
        <v>0.9338496667</v>
      </c>
      <c r="G91" s="18">
        <v>23</v>
      </c>
      <c r="H91" s="17">
        <v>0.8089883847</v>
      </c>
      <c r="I91" s="17">
        <v>1</v>
      </c>
      <c r="J91" s="17">
        <v>0.8791750585</v>
      </c>
      <c r="K91" s="18">
        <v>11</v>
      </c>
      <c r="L91" s="17">
        <v>0.04264870932</v>
      </c>
      <c r="M91" s="18">
        <v>12</v>
      </c>
      <c r="N91" s="18">
        <f t="shared" si="3"/>
        <v>11</v>
      </c>
      <c r="O91" s="19">
        <v>25.12546296</v>
      </c>
      <c r="P91" s="19">
        <v>48.85288066</v>
      </c>
      <c r="Q91" s="20">
        <v>0.5725744389</v>
      </c>
      <c r="R91" s="20">
        <v>1.014422373</v>
      </c>
      <c r="S91" s="21">
        <v>0.009664677191</v>
      </c>
      <c r="T91" s="18">
        <v>95</v>
      </c>
    </row>
    <row r="92" spans="1:20">
      <c r="A92" s="14" t="str">
        <f t="shared" si="2"/>
        <v>主结果</v>
      </c>
      <c r="B92" s="15">
        <v>0.01</v>
      </c>
      <c r="C92" s="16" t="s">
        <v>65</v>
      </c>
      <c r="D92" s="16" t="s">
        <v>67</v>
      </c>
      <c r="E92" s="16" t="s">
        <v>146</v>
      </c>
      <c r="F92" s="17">
        <v>0.935761</v>
      </c>
      <c r="G92" s="18">
        <v>18</v>
      </c>
      <c r="H92" s="17">
        <v>0.8034602046</v>
      </c>
      <c r="I92" s="17">
        <v>1</v>
      </c>
      <c r="J92" s="17">
        <v>0.8761507496</v>
      </c>
      <c r="K92" s="18">
        <v>14</v>
      </c>
      <c r="L92" s="17">
        <v>0.04264870932</v>
      </c>
      <c r="M92" s="18">
        <v>12</v>
      </c>
      <c r="N92" s="18">
        <f t="shared" si="3"/>
        <v>6</v>
      </c>
      <c r="O92" s="19">
        <v>20.03095238</v>
      </c>
      <c r="P92" s="19">
        <v>53.95632248</v>
      </c>
      <c r="Q92" s="20">
        <v>0.6322398572</v>
      </c>
      <c r="R92" s="20">
        <v>1.108961465</v>
      </c>
      <c r="S92" s="21">
        <v>0.009766211238</v>
      </c>
      <c r="T92" s="18">
        <v>95</v>
      </c>
    </row>
    <row r="93" spans="1:20">
      <c r="A93" s="14" t="str">
        <f t="shared" si="2"/>
        <v>主结果</v>
      </c>
      <c r="B93" s="15">
        <v>0.01</v>
      </c>
      <c r="C93" s="16" t="s">
        <v>46</v>
      </c>
      <c r="D93" s="16" t="s">
        <v>51</v>
      </c>
      <c r="E93" s="16" t="s">
        <v>154</v>
      </c>
      <c r="F93" s="17">
        <v>0.9373393333</v>
      </c>
      <c r="G93" s="18">
        <v>14</v>
      </c>
      <c r="H93" s="17">
        <v>0.7994853983</v>
      </c>
      <c r="I93" s="17">
        <v>1</v>
      </c>
      <c r="J93" s="17">
        <v>0.8716861449</v>
      </c>
      <c r="K93" s="18">
        <v>17</v>
      </c>
      <c r="L93" s="17">
        <v>0.04264870932</v>
      </c>
      <c r="M93" s="18">
        <v>12</v>
      </c>
      <c r="N93" s="18">
        <f t="shared" si="3"/>
        <v>2</v>
      </c>
      <c r="O93" s="19">
        <v>21.25740741</v>
      </c>
      <c r="P93" s="19">
        <v>60.12317621</v>
      </c>
      <c r="Q93" s="20">
        <v>0.6151397663</v>
      </c>
      <c r="R93" s="20">
        <v>1.075898039</v>
      </c>
      <c r="S93" s="21">
        <v>0.009786287695</v>
      </c>
      <c r="T93" s="18">
        <v>95</v>
      </c>
    </row>
    <row r="94" spans="1:20">
      <c r="A94" s="14" t="str">
        <f t="shared" si="2"/>
        <v>主结果</v>
      </c>
      <c r="B94" s="15">
        <v>0.01</v>
      </c>
      <c r="C94" s="16" t="s">
        <v>46</v>
      </c>
      <c r="D94" s="16" t="s">
        <v>57</v>
      </c>
      <c r="E94" s="16" t="s">
        <v>147</v>
      </c>
      <c r="F94" s="17">
        <v>0.9422473333</v>
      </c>
      <c r="G94" s="18">
        <v>4</v>
      </c>
      <c r="H94" s="17">
        <v>0.8002503798</v>
      </c>
      <c r="I94" s="17">
        <v>1</v>
      </c>
      <c r="J94" s="17">
        <v>0.8714928676</v>
      </c>
      <c r="K94" s="18">
        <v>18</v>
      </c>
      <c r="L94" s="17">
        <v>0.04264870932</v>
      </c>
      <c r="M94" s="18">
        <v>12</v>
      </c>
      <c r="N94" s="18">
        <f t="shared" si="3"/>
        <v>-8</v>
      </c>
      <c r="O94" s="19">
        <v>24.6</v>
      </c>
      <c r="P94" s="19">
        <v>123.2753461</v>
      </c>
      <c r="Q94" s="20">
        <v>0.5949075302</v>
      </c>
      <c r="R94" s="20">
        <v>1.016912524</v>
      </c>
      <c r="S94" s="21">
        <v>0.009723167573</v>
      </c>
      <c r="T94" s="18">
        <v>95</v>
      </c>
    </row>
    <row r="95" spans="1:20">
      <c r="A95" s="14" t="str">
        <f t="shared" si="2"/>
        <v>主结果</v>
      </c>
      <c r="B95" s="15">
        <v>0.01</v>
      </c>
      <c r="C95" s="16" t="s">
        <v>37</v>
      </c>
      <c r="D95" s="16" t="s">
        <v>44</v>
      </c>
      <c r="E95" s="16" t="s">
        <v>162</v>
      </c>
      <c r="F95" s="17">
        <v>0.938496</v>
      </c>
      <c r="G95" s="18">
        <v>10</v>
      </c>
      <c r="H95" s="17">
        <v>0.8177904134</v>
      </c>
      <c r="I95" s="17">
        <v>0.987654321</v>
      </c>
      <c r="J95" s="17">
        <v>0.8821378109</v>
      </c>
      <c r="K95" s="18">
        <v>7</v>
      </c>
      <c r="L95" s="17">
        <v>0.0303030303</v>
      </c>
      <c r="M95" s="18">
        <v>19</v>
      </c>
      <c r="N95" s="18">
        <f t="shared" si="3"/>
        <v>-9</v>
      </c>
      <c r="O95" s="19">
        <v>25.93386243</v>
      </c>
      <c r="P95" s="19">
        <v>45.1548174</v>
      </c>
      <c r="Q95" s="20">
        <v>0.6456109052</v>
      </c>
      <c r="R95" s="20">
        <v>1.133305298</v>
      </c>
      <c r="S95" s="21">
        <v>0.009646054015</v>
      </c>
      <c r="T95" s="18">
        <v>95</v>
      </c>
    </row>
    <row r="96" spans="1:20">
      <c r="A96" s="14" t="str">
        <f t="shared" si="2"/>
        <v>主结果</v>
      </c>
      <c r="B96" s="15">
        <v>0.01</v>
      </c>
      <c r="C96" s="16" t="s">
        <v>68</v>
      </c>
      <c r="D96" s="16" t="s">
        <v>72</v>
      </c>
      <c r="E96" s="16" t="s">
        <v>163</v>
      </c>
      <c r="F96" s="17">
        <v>0.9361943333</v>
      </c>
      <c r="G96" s="18">
        <v>16</v>
      </c>
      <c r="H96" s="17">
        <v>0.8052084491</v>
      </c>
      <c r="I96" s="17">
        <v>1</v>
      </c>
      <c r="J96" s="17">
        <v>0.8744327814</v>
      </c>
      <c r="K96" s="18">
        <v>16</v>
      </c>
      <c r="L96" s="17">
        <v>0.0303030303</v>
      </c>
      <c r="M96" s="18">
        <v>19</v>
      </c>
      <c r="N96" s="18">
        <f t="shared" si="3"/>
        <v>-3</v>
      </c>
      <c r="O96" s="19">
        <v>21.36666667</v>
      </c>
      <c r="P96" s="19">
        <v>39.42452301</v>
      </c>
      <c r="Q96" s="20">
        <v>0.5512606726</v>
      </c>
      <c r="R96" s="20">
        <v>0.9577363649</v>
      </c>
      <c r="S96" s="21">
        <v>0.009767299073</v>
      </c>
      <c r="T96" s="18">
        <v>95</v>
      </c>
    </row>
    <row r="97" spans="1:20">
      <c r="A97" s="14" t="str">
        <f t="shared" si="2"/>
        <v>主结果</v>
      </c>
      <c r="B97" s="15">
        <v>0.01</v>
      </c>
      <c r="C97" s="16" t="s">
        <v>33</v>
      </c>
      <c r="D97" s="16" t="s">
        <v>36</v>
      </c>
      <c r="E97" s="16" t="s">
        <v>167</v>
      </c>
      <c r="F97" s="17">
        <v>0.931959</v>
      </c>
      <c r="G97" s="18">
        <v>28</v>
      </c>
      <c r="H97" s="17">
        <v>0.7779737803</v>
      </c>
      <c r="I97" s="17">
        <v>0.962962963</v>
      </c>
      <c r="J97" s="17">
        <v>0.8368772165</v>
      </c>
      <c r="K97" s="18">
        <v>27</v>
      </c>
      <c r="L97" s="17">
        <v>0.0303030303</v>
      </c>
      <c r="M97" s="18">
        <v>19</v>
      </c>
      <c r="N97" s="18">
        <f t="shared" si="3"/>
        <v>9</v>
      </c>
      <c r="O97" s="19">
        <v>27</v>
      </c>
      <c r="P97" s="19">
        <v>108.1254209</v>
      </c>
      <c r="Q97" s="20">
        <v>0.5922861053</v>
      </c>
      <c r="R97" s="20">
        <v>0.9788472614</v>
      </c>
      <c r="S97" s="21">
        <v>0.009777138896</v>
      </c>
      <c r="T97" s="18">
        <v>95</v>
      </c>
    </row>
    <row r="98" spans="1:20">
      <c r="A98" s="14" t="str">
        <f t="shared" si="2"/>
        <v>主结果</v>
      </c>
      <c r="B98" s="15">
        <v>0.01</v>
      </c>
      <c r="C98" s="16" t="s">
        <v>73</v>
      </c>
      <c r="D98" s="16" t="s">
        <v>74</v>
      </c>
      <c r="E98" s="16" t="s">
        <v>168</v>
      </c>
      <c r="F98" s="17">
        <v>0.931533</v>
      </c>
      <c r="G98" s="18">
        <v>29</v>
      </c>
      <c r="H98" s="17">
        <v>0.785364245</v>
      </c>
      <c r="I98" s="17">
        <v>0.950617284</v>
      </c>
      <c r="J98" s="17">
        <v>0.8352846461</v>
      </c>
      <c r="K98" s="18">
        <v>28</v>
      </c>
      <c r="L98" s="17">
        <v>0.0303030303</v>
      </c>
      <c r="M98" s="18">
        <v>19</v>
      </c>
      <c r="N98" s="18">
        <f t="shared" si="3"/>
        <v>10</v>
      </c>
      <c r="O98" s="19">
        <v>26.71666667</v>
      </c>
      <c r="P98" s="19">
        <v>83.88888889</v>
      </c>
      <c r="Q98" s="20">
        <v>0.3780108966</v>
      </c>
      <c r="R98" s="20">
        <v>0.6633632632</v>
      </c>
      <c r="S98" s="21">
        <v>0.009750360661</v>
      </c>
      <c r="T98" s="18">
        <v>95</v>
      </c>
    </row>
    <row r="99" spans="1:20">
      <c r="A99" s="14" t="str">
        <f t="shared" si="2"/>
        <v>主结果</v>
      </c>
      <c r="B99" s="15">
        <v>0.01</v>
      </c>
      <c r="C99" s="16" t="s">
        <v>46</v>
      </c>
      <c r="D99" s="16" t="s">
        <v>49</v>
      </c>
      <c r="E99" s="16" t="s">
        <v>149</v>
      </c>
      <c r="F99" s="17">
        <v>0.9374243333</v>
      </c>
      <c r="G99" s="18">
        <v>13</v>
      </c>
      <c r="H99" s="17">
        <v>0.8293923407</v>
      </c>
      <c r="I99" s="17">
        <v>1</v>
      </c>
      <c r="J99" s="17">
        <v>0.8945301982</v>
      </c>
      <c r="K99" s="18">
        <v>1</v>
      </c>
      <c r="L99" s="17">
        <v>0.01234567901</v>
      </c>
      <c r="M99" s="18">
        <v>23</v>
      </c>
      <c r="N99" s="18">
        <f t="shared" si="3"/>
        <v>-10</v>
      </c>
      <c r="O99" s="19">
        <v>29.25238095</v>
      </c>
      <c r="P99" s="19">
        <v>53.96053124</v>
      </c>
      <c r="Q99" s="20">
        <v>0.6184941518</v>
      </c>
      <c r="R99" s="20">
        <v>1.08325919</v>
      </c>
      <c r="S99" s="21">
        <v>0.009796567722</v>
      </c>
      <c r="T99" s="18">
        <v>95</v>
      </c>
    </row>
    <row r="100" spans="1:20">
      <c r="A100" s="14" t="str">
        <f t="shared" si="2"/>
        <v>主结果</v>
      </c>
      <c r="B100" s="15">
        <v>0.01</v>
      </c>
      <c r="C100" s="16" t="s">
        <v>46</v>
      </c>
      <c r="D100" s="16" t="s">
        <v>55</v>
      </c>
      <c r="E100" s="16" t="s">
        <v>151</v>
      </c>
      <c r="F100" s="17">
        <v>0.9397596667</v>
      </c>
      <c r="G100" s="18">
        <v>6</v>
      </c>
      <c r="H100" s="17">
        <v>0.8303520714</v>
      </c>
      <c r="I100" s="17">
        <v>1</v>
      </c>
      <c r="J100" s="17">
        <v>0.8935248152</v>
      </c>
      <c r="K100" s="18">
        <v>2</v>
      </c>
      <c r="L100" s="17">
        <v>0.01234567901</v>
      </c>
      <c r="M100" s="18">
        <v>23</v>
      </c>
      <c r="N100" s="18">
        <f t="shared" si="3"/>
        <v>-17</v>
      </c>
      <c r="O100" s="19">
        <v>19.22222222</v>
      </c>
      <c r="P100" s="19">
        <v>97.05508792</v>
      </c>
      <c r="Q100" s="20">
        <v>0.533113818</v>
      </c>
      <c r="R100" s="20">
        <v>0.9286320114</v>
      </c>
      <c r="S100" s="21">
        <v>0.00983717536</v>
      </c>
      <c r="T100" s="18">
        <v>95</v>
      </c>
    </row>
    <row r="101" spans="1:20">
      <c r="A101" s="14" t="str">
        <f t="shared" si="2"/>
        <v>主结果</v>
      </c>
      <c r="B101" s="15">
        <v>0.01</v>
      </c>
      <c r="C101" s="16" t="s">
        <v>37</v>
      </c>
      <c r="D101" s="16" t="s">
        <v>41</v>
      </c>
      <c r="E101" s="16" t="s">
        <v>166</v>
      </c>
      <c r="F101" s="17">
        <v>0.936701</v>
      </c>
      <c r="G101" s="18">
        <v>15</v>
      </c>
      <c r="H101" s="17">
        <v>0.8156056332</v>
      </c>
      <c r="I101" s="17">
        <v>1</v>
      </c>
      <c r="J101" s="17">
        <v>0.8807083662</v>
      </c>
      <c r="K101" s="18">
        <v>8</v>
      </c>
      <c r="L101" s="17">
        <v>0.01234567901</v>
      </c>
      <c r="M101" s="18">
        <v>23</v>
      </c>
      <c r="N101" s="18">
        <f t="shared" si="3"/>
        <v>-8</v>
      </c>
      <c r="O101" s="19">
        <v>27.6962963</v>
      </c>
      <c r="P101" s="19">
        <v>72.72203517</v>
      </c>
      <c r="Q101" s="20">
        <v>0.5964001797</v>
      </c>
      <c r="R101" s="20">
        <v>1.038742993</v>
      </c>
      <c r="S101" s="21">
        <v>0.00988046632</v>
      </c>
      <c r="T101" s="18">
        <v>95</v>
      </c>
    </row>
    <row r="102" spans="1:20">
      <c r="A102" s="14" t="str">
        <f t="shared" si="2"/>
        <v>主结果</v>
      </c>
      <c r="B102" s="15">
        <v>0.01</v>
      </c>
      <c r="C102" s="16" t="s">
        <v>68</v>
      </c>
      <c r="D102" s="16" t="s">
        <v>69</v>
      </c>
      <c r="E102" s="16" t="s">
        <v>153</v>
      </c>
      <c r="F102" s="17">
        <v>0.9282393333</v>
      </c>
      <c r="G102" s="18">
        <v>32</v>
      </c>
      <c r="H102" s="17">
        <v>0.8101769871</v>
      </c>
      <c r="I102" s="17">
        <v>1</v>
      </c>
      <c r="J102" s="17">
        <v>0.8799815863</v>
      </c>
      <c r="K102" s="18">
        <v>10</v>
      </c>
      <c r="L102" s="17">
        <v>0.01234567901</v>
      </c>
      <c r="M102" s="18">
        <v>23</v>
      </c>
      <c r="N102" s="18">
        <f t="shared" si="3"/>
        <v>9</v>
      </c>
      <c r="O102" s="19">
        <v>22.53650794</v>
      </c>
      <c r="P102" s="19">
        <v>37.71436588</v>
      </c>
      <c r="Q102" s="20">
        <v>0.617997735</v>
      </c>
      <c r="R102" s="20">
        <v>1.077971538</v>
      </c>
      <c r="S102" s="21">
        <v>0.009684753648</v>
      </c>
      <c r="T102" s="18">
        <v>95</v>
      </c>
    </row>
    <row r="103" spans="1:20">
      <c r="A103" s="14" t="str">
        <f t="shared" si="2"/>
        <v>主结果</v>
      </c>
      <c r="B103" s="15">
        <v>0.01</v>
      </c>
      <c r="C103" s="16" t="s">
        <v>37</v>
      </c>
      <c r="D103" s="16" t="s">
        <v>42</v>
      </c>
      <c r="E103" s="16" t="s">
        <v>160</v>
      </c>
      <c r="F103" s="17">
        <v>0.9382506667</v>
      </c>
      <c r="G103" s="18">
        <v>12</v>
      </c>
      <c r="H103" s="17">
        <v>0.8260253339</v>
      </c>
      <c r="I103" s="17">
        <v>0.9696969697</v>
      </c>
      <c r="J103" s="17">
        <v>0.8748720156</v>
      </c>
      <c r="K103" s="18">
        <v>15</v>
      </c>
      <c r="L103" s="17">
        <v>0.01234567901</v>
      </c>
      <c r="M103" s="18">
        <v>23</v>
      </c>
      <c r="N103" s="18">
        <f t="shared" si="3"/>
        <v>-11</v>
      </c>
      <c r="O103" s="19">
        <v>30.54861111</v>
      </c>
      <c r="P103" s="19">
        <v>62.89444444</v>
      </c>
      <c r="Q103" s="20">
        <v>0.5413906842</v>
      </c>
      <c r="R103" s="20">
        <v>0.9660504322</v>
      </c>
      <c r="S103" s="21">
        <v>0.009962257992</v>
      </c>
      <c r="T103" s="18">
        <v>95</v>
      </c>
    </row>
    <row r="104" spans="1:20">
      <c r="A104" s="14" t="str">
        <f t="shared" si="2"/>
        <v>主结果</v>
      </c>
      <c r="B104" s="15">
        <v>0.01</v>
      </c>
      <c r="C104" s="16" t="s">
        <v>46</v>
      </c>
      <c r="D104" s="16" t="s">
        <v>60</v>
      </c>
      <c r="E104" s="16" t="s">
        <v>172</v>
      </c>
      <c r="F104" s="17">
        <v>0.947993</v>
      </c>
      <c r="G104" s="18">
        <v>1</v>
      </c>
      <c r="H104" s="17">
        <v>0.8057802173</v>
      </c>
      <c r="I104" s="17">
        <v>0.987654321</v>
      </c>
      <c r="J104" s="17">
        <v>0.870772173</v>
      </c>
      <c r="K104" s="18">
        <v>19</v>
      </c>
      <c r="L104" s="17">
        <v>0.01234567901</v>
      </c>
      <c r="M104" s="18">
        <v>23</v>
      </c>
      <c r="N104" s="18">
        <f t="shared" si="3"/>
        <v>-22</v>
      </c>
      <c r="O104" s="19">
        <v>16.62037037</v>
      </c>
      <c r="P104" s="19">
        <v>66.01236726</v>
      </c>
      <c r="Q104" s="20">
        <v>0.5751591675</v>
      </c>
      <c r="R104" s="20">
        <v>1.007497364</v>
      </c>
      <c r="S104" s="21">
        <v>0.009691866755</v>
      </c>
      <c r="T104" s="18">
        <v>95</v>
      </c>
    </row>
    <row r="105" spans="1:20">
      <c r="A105" s="14" t="str">
        <f t="shared" si="2"/>
        <v>主结果</v>
      </c>
      <c r="B105" s="15">
        <v>0.01</v>
      </c>
      <c r="C105" s="16" t="s">
        <v>33</v>
      </c>
      <c r="D105" s="16" t="s">
        <v>35</v>
      </c>
      <c r="E105" s="16" t="s">
        <v>169</v>
      </c>
      <c r="F105" s="17">
        <v>0.9331393333</v>
      </c>
      <c r="G105" s="18">
        <v>25</v>
      </c>
      <c r="H105" s="17">
        <v>0.7898538974</v>
      </c>
      <c r="I105" s="17">
        <v>1</v>
      </c>
      <c r="J105" s="17">
        <v>0.8632186062</v>
      </c>
      <c r="K105" s="18">
        <v>21</v>
      </c>
      <c r="L105" s="17">
        <v>0.01234567901</v>
      </c>
      <c r="M105" s="18">
        <v>23</v>
      </c>
      <c r="N105" s="18">
        <f t="shared" si="3"/>
        <v>2</v>
      </c>
      <c r="O105" s="19">
        <v>21.99747475</v>
      </c>
      <c r="P105" s="19">
        <v>28.74971942</v>
      </c>
      <c r="Q105" s="20">
        <v>0.6416951527</v>
      </c>
      <c r="R105" s="20">
        <v>1.094807637</v>
      </c>
      <c r="S105" s="21">
        <v>0.009709545597</v>
      </c>
      <c r="T105" s="18">
        <v>95</v>
      </c>
    </row>
    <row r="106" spans="1:20">
      <c r="A106" s="14" t="str">
        <f t="shared" si="2"/>
        <v>主结果</v>
      </c>
      <c r="B106" s="15">
        <v>0.01</v>
      </c>
      <c r="C106" s="16" t="s">
        <v>46</v>
      </c>
      <c r="D106" s="16" t="s">
        <v>61</v>
      </c>
      <c r="E106" s="16" t="s">
        <v>178</v>
      </c>
      <c r="F106" s="17">
        <v>0.9280213333</v>
      </c>
      <c r="G106" s="18">
        <v>33</v>
      </c>
      <c r="H106" s="17">
        <v>0.6019453797</v>
      </c>
      <c r="I106" s="17">
        <v>0.6060606061</v>
      </c>
      <c r="J106" s="17">
        <v>0.6035914703</v>
      </c>
      <c r="K106" s="18">
        <v>34</v>
      </c>
      <c r="L106" s="17">
        <v>0.01234567901</v>
      </c>
      <c r="M106" s="18">
        <v>23</v>
      </c>
      <c r="N106" s="18">
        <f t="shared" si="3"/>
        <v>10</v>
      </c>
      <c r="O106" s="19">
        <v>29.77777778</v>
      </c>
      <c r="P106" s="19">
        <v>345.867284</v>
      </c>
      <c r="Q106" s="20">
        <v>0.06990520127</v>
      </c>
      <c r="R106" s="20">
        <v>0.1032334221</v>
      </c>
      <c r="S106" s="21">
        <v>0.009712337533</v>
      </c>
      <c r="T106" s="18">
        <v>95</v>
      </c>
    </row>
    <row r="107" spans="1:20">
      <c r="A107" s="14" t="str">
        <f t="shared" si="2"/>
        <v>主结果</v>
      </c>
      <c r="B107" s="15">
        <v>0.01</v>
      </c>
      <c r="C107" s="16" t="s">
        <v>46</v>
      </c>
      <c r="D107" s="16" t="s">
        <v>58</v>
      </c>
      <c r="E107" s="16" t="s">
        <v>174</v>
      </c>
      <c r="F107" s="17">
        <v>0.935391</v>
      </c>
      <c r="G107" s="18">
        <v>21</v>
      </c>
      <c r="H107" s="17">
        <v>0.8199035983</v>
      </c>
      <c r="I107" s="17">
        <v>0.987654321</v>
      </c>
      <c r="J107" s="17">
        <v>0.876977492</v>
      </c>
      <c r="K107" s="18">
        <v>12</v>
      </c>
      <c r="L107" s="17">
        <v>0</v>
      </c>
      <c r="M107" s="18">
        <v>31</v>
      </c>
      <c r="N107" s="18">
        <f t="shared" si="3"/>
        <v>-10</v>
      </c>
      <c r="O107" s="19">
        <v>24.41666667</v>
      </c>
      <c r="P107" s="19">
        <v>100.8420746</v>
      </c>
      <c r="Q107" s="20">
        <v>0.2488203837</v>
      </c>
      <c r="R107" s="20">
        <v>0.434242463</v>
      </c>
      <c r="S107" s="21">
        <v>0.00968182552</v>
      </c>
      <c r="T107" s="18">
        <v>95</v>
      </c>
    </row>
    <row r="108" spans="1:20">
      <c r="A108" s="14" t="str">
        <f t="shared" si="2"/>
        <v>主结果</v>
      </c>
      <c r="B108" s="15">
        <v>0.01</v>
      </c>
      <c r="C108" s="16" t="s">
        <v>37</v>
      </c>
      <c r="D108" s="16" t="s">
        <v>48</v>
      </c>
      <c r="E108" s="16" t="s">
        <v>165</v>
      </c>
      <c r="F108" s="17">
        <v>0.9302763333</v>
      </c>
      <c r="G108" s="18">
        <v>31</v>
      </c>
      <c r="H108" s="17">
        <v>0.7874477244</v>
      </c>
      <c r="I108" s="17">
        <v>1</v>
      </c>
      <c r="J108" s="17">
        <v>0.8687857766</v>
      </c>
      <c r="K108" s="18">
        <v>20</v>
      </c>
      <c r="L108" s="17">
        <v>0</v>
      </c>
      <c r="M108" s="18">
        <v>31</v>
      </c>
      <c r="N108" s="18">
        <f t="shared" si="3"/>
        <v>0</v>
      </c>
      <c r="O108" s="19">
        <v>24.96851852</v>
      </c>
      <c r="P108" s="19">
        <v>31.11316872</v>
      </c>
      <c r="Q108" s="20">
        <v>0.5430091352</v>
      </c>
      <c r="R108" s="20">
        <v>0.9381108718</v>
      </c>
      <c r="S108" s="21">
        <v>0.009767299073</v>
      </c>
      <c r="T108" s="18">
        <v>95</v>
      </c>
    </row>
    <row r="109" spans="1:20">
      <c r="A109" s="14" t="str">
        <f t="shared" si="2"/>
        <v>主结果</v>
      </c>
      <c r="B109" s="15">
        <v>0.01</v>
      </c>
      <c r="C109" s="16" t="s">
        <v>37</v>
      </c>
      <c r="D109" s="16" t="s">
        <v>40</v>
      </c>
      <c r="E109" s="16" t="s">
        <v>173</v>
      </c>
      <c r="F109" s="17">
        <v>0.946863</v>
      </c>
      <c r="G109" s="18">
        <v>2</v>
      </c>
      <c r="H109" s="17">
        <v>0.831369248</v>
      </c>
      <c r="I109" s="17">
        <v>0.8653198653</v>
      </c>
      <c r="J109" s="17">
        <v>0.8426861205</v>
      </c>
      <c r="K109" s="18">
        <v>25</v>
      </c>
      <c r="L109" s="17">
        <v>0</v>
      </c>
      <c r="M109" s="18">
        <v>31</v>
      </c>
      <c r="N109" s="18">
        <f t="shared" si="3"/>
        <v>-29</v>
      </c>
      <c r="O109" s="19">
        <v>23.66666667</v>
      </c>
      <c r="P109" s="19">
        <v>267.3813933</v>
      </c>
      <c r="Q109" s="20">
        <v>0.03555910976</v>
      </c>
      <c r="R109" s="20">
        <v>0.05989223959</v>
      </c>
      <c r="S109" s="21">
        <v>0.009621699779</v>
      </c>
      <c r="T109" s="18">
        <v>95</v>
      </c>
    </row>
    <row r="110" spans="1:20">
      <c r="A110" s="14" t="str">
        <f t="shared" si="2"/>
        <v>主结果</v>
      </c>
      <c r="B110" s="15">
        <v>0.01</v>
      </c>
      <c r="C110" s="16" t="s">
        <v>46</v>
      </c>
      <c r="D110" s="16" t="s">
        <v>59</v>
      </c>
      <c r="E110" s="16" t="s">
        <v>175</v>
      </c>
      <c r="F110" s="17">
        <v>0.939694</v>
      </c>
      <c r="G110" s="18">
        <v>7</v>
      </c>
      <c r="H110" s="17">
        <v>0.7634279301</v>
      </c>
      <c r="I110" s="17">
        <v>0.847362514</v>
      </c>
      <c r="J110" s="17">
        <v>0.7893191171</v>
      </c>
      <c r="K110" s="18">
        <v>31</v>
      </c>
      <c r="L110" s="17">
        <v>0</v>
      </c>
      <c r="M110" s="18">
        <v>31</v>
      </c>
      <c r="N110" s="18">
        <f t="shared" si="3"/>
        <v>-24</v>
      </c>
      <c r="O110" s="19">
        <v>18.5</v>
      </c>
      <c r="P110" s="19">
        <v>223.2739899</v>
      </c>
      <c r="Q110" s="20">
        <v>0.07105965543</v>
      </c>
      <c r="R110" s="20">
        <v>0.1168854626</v>
      </c>
      <c r="S110" s="21">
        <v>0.009708653161</v>
      </c>
      <c r="T110" s="18">
        <v>95</v>
      </c>
    </row>
    <row r="111" spans="1:20">
      <c r="A111" s="14" t="str">
        <f t="shared" si="2"/>
        <v>主结果</v>
      </c>
      <c r="B111" s="15">
        <v>0.01</v>
      </c>
      <c r="C111" s="16" t="s">
        <v>46</v>
      </c>
      <c r="D111" s="16" t="s">
        <v>64</v>
      </c>
      <c r="E111" s="16" t="s">
        <v>177</v>
      </c>
      <c r="F111" s="17">
        <v>0.940772</v>
      </c>
      <c r="G111" s="18">
        <v>5</v>
      </c>
      <c r="H111" s="17">
        <v>0.678343755</v>
      </c>
      <c r="I111" s="17">
        <v>0.8462401796</v>
      </c>
      <c r="J111" s="17">
        <v>0.7239652991</v>
      </c>
      <c r="K111" s="18">
        <v>32</v>
      </c>
      <c r="L111" s="17">
        <v>0</v>
      </c>
      <c r="M111" s="18">
        <v>31</v>
      </c>
      <c r="N111" s="18">
        <f t="shared" si="3"/>
        <v>-26</v>
      </c>
      <c r="O111" s="19">
        <v>24.26388889</v>
      </c>
      <c r="P111" s="19">
        <v>221.2320261</v>
      </c>
      <c r="Q111" s="20">
        <v>0.265546929</v>
      </c>
      <c r="R111" s="20">
        <v>0.4349522487</v>
      </c>
      <c r="S111" s="21">
        <v>0.009627963843</v>
      </c>
      <c r="T111" s="18">
        <v>95</v>
      </c>
    </row>
    <row r="112" spans="1:20">
      <c r="A112" s="14" t="str">
        <f t="shared" si="2"/>
        <v>主结果</v>
      </c>
      <c r="B112" s="15">
        <v>0.01</v>
      </c>
      <c r="C112" s="16" t="s">
        <v>46</v>
      </c>
      <c r="D112" s="16" t="s">
        <v>62</v>
      </c>
      <c r="E112" s="16" t="s">
        <v>176</v>
      </c>
      <c r="F112" s="17">
        <v>0.9269896667</v>
      </c>
      <c r="G112" s="18">
        <v>35</v>
      </c>
      <c r="H112" s="17">
        <v>0.6622708567</v>
      </c>
      <c r="I112" s="17">
        <v>0.7974186308</v>
      </c>
      <c r="J112" s="17">
        <v>0.6998877666</v>
      </c>
      <c r="K112" s="18">
        <v>33</v>
      </c>
      <c r="L112" s="17">
        <v>0</v>
      </c>
      <c r="M112" s="18">
        <v>31</v>
      </c>
      <c r="N112" s="18">
        <f t="shared" si="3"/>
        <v>4</v>
      </c>
      <c r="O112" s="19">
        <v>23.33333333</v>
      </c>
      <c r="P112" s="19">
        <v>226.6703704</v>
      </c>
      <c r="Q112" s="20">
        <v>0.1308049191</v>
      </c>
      <c r="R112" s="20">
        <v>0.2024349092</v>
      </c>
      <c r="S112" s="21">
        <v>0.009655522377</v>
      </c>
      <c r="T112" s="18">
        <v>95</v>
      </c>
    </row>
    <row r="113" spans="1:20">
      <c r="A113" s="6" t="str">
        <f t="shared" si="2"/>
        <v>敏感性</v>
      </c>
      <c r="B113" s="7">
        <v>0.02</v>
      </c>
      <c r="C113" s="8" t="s">
        <v>46</v>
      </c>
      <c r="D113" s="8" t="s">
        <v>63</v>
      </c>
      <c r="E113" s="8" t="s">
        <v>141</v>
      </c>
      <c r="F113" s="9">
        <v>0.922112</v>
      </c>
      <c r="G113" s="10">
        <v>36</v>
      </c>
      <c r="H113" s="9">
        <v>0.451699535</v>
      </c>
      <c r="I113" s="9">
        <v>0.5342312009</v>
      </c>
      <c r="J113" s="9">
        <v>0.4791673347</v>
      </c>
      <c r="K113" s="10">
        <v>36</v>
      </c>
      <c r="L113" s="9">
        <v>0.4287317621</v>
      </c>
      <c r="M113" s="10">
        <v>1</v>
      </c>
      <c r="N113" s="10">
        <f t="shared" si="3"/>
        <v>35</v>
      </c>
      <c r="O113" s="11">
        <v>47.28571429</v>
      </c>
      <c r="P113" s="11">
        <v>243.1980769</v>
      </c>
      <c r="Q113" s="12">
        <v>0.05624444099</v>
      </c>
      <c r="R113" s="12">
        <v>0.0620970297</v>
      </c>
      <c r="S113" s="13">
        <v>0.01971674323</v>
      </c>
      <c r="T113" s="10">
        <v>95</v>
      </c>
    </row>
    <row r="114" spans="1:20">
      <c r="A114" s="6" t="str">
        <f t="shared" si="2"/>
        <v>敏感性</v>
      </c>
      <c r="B114" s="7">
        <v>0.02</v>
      </c>
      <c r="C114" s="8" t="s">
        <v>46</v>
      </c>
      <c r="D114" s="8" t="s">
        <v>52</v>
      </c>
      <c r="E114" s="8" t="s">
        <v>150</v>
      </c>
      <c r="F114" s="9">
        <v>0.9276833333</v>
      </c>
      <c r="G114" s="10">
        <v>34</v>
      </c>
      <c r="H114" s="9">
        <v>0.7640090833</v>
      </c>
      <c r="I114" s="9">
        <v>1</v>
      </c>
      <c r="J114" s="9">
        <v>0.8504918212</v>
      </c>
      <c r="K114" s="10">
        <v>23</v>
      </c>
      <c r="L114" s="9">
        <v>0.3120089787</v>
      </c>
      <c r="M114" s="10">
        <v>2</v>
      </c>
      <c r="N114" s="10">
        <f t="shared" si="3"/>
        <v>32</v>
      </c>
      <c r="O114" s="11">
        <v>45.7108396</v>
      </c>
      <c r="P114" s="11">
        <v>6.74691358</v>
      </c>
      <c r="Q114" s="12">
        <v>1.281451825</v>
      </c>
      <c r="R114" s="12">
        <v>2.250872231</v>
      </c>
      <c r="S114" s="13">
        <v>0.01972163478</v>
      </c>
      <c r="T114" s="10">
        <v>95</v>
      </c>
    </row>
    <row r="115" spans="1:20">
      <c r="A115" s="6" t="str">
        <f t="shared" si="2"/>
        <v>敏感性</v>
      </c>
      <c r="B115" s="7">
        <v>0.02</v>
      </c>
      <c r="C115" s="8" t="s">
        <v>46</v>
      </c>
      <c r="D115" s="8" t="s">
        <v>54</v>
      </c>
      <c r="E115" s="8" t="s">
        <v>143</v>
      </c>
      <c r="F115" s="9">
        <v>0.938258</v>
      </c>
      <c r="G115" s="10">
        <v>11</v>
      </c>
      <c r="H115" s="9">
        <v>0.7395855069</v>
      </c>
      <c r="I115" s="9">
        <v>0.987654321</v>
      </c>
      <c r="J115" s="9">
        <v>0.8241858542</v>
      </c>
      <c r="K115" s="10">
        <v>29</v>
      </c>
      <c r="L115" s="9">
        <v>0.2884399551</v>
      </c>
      <c r="M115" s="10">
        <v>3</v>
      </c>
      <c r="N115" s="10">
        <f t="shared" si="3"/>
        <v>8</v>
      </c>
      <c r="O115" s="11">
        <v>41.17255892</v>
      </c>
      <c r="P115" s="11">
        <v>50.52525253</v>
      </c>
      <c r="Q115" s="12">
        <v>0.6985971626</v>
      </c>
      <c r="R115" s="12">
        <v>1.209235411</v>
      </c>
      <c r="S115" s="13">
        <v>0.01981971122</v>
      </c>
      <c r="T115" s="10">
        <v>95</v>
      </c>
    </row>
    <row r="116" spans="1:20">
      <c r="A116" s="6" t="str">
        <f t="shared" si="2"/>
        <v>敏感性</v>
      </c>
      <c r="B116" s="7">
        <v>0.02</v>
      </c>
      <c r="C116" s="8" t="s">
        <v>37</v>
      </c>
      <c r="D116" s="8" t="s">
        <v>47</v>
      </c>
      <c r="E116" s="8" t="s">
        <v>142</v>
      </c>
      <c r="F116" s="9">
        <v>0.9445403333</v>
      </c>
      <c r="G116" s="10">
        <v>3</v>
      </c>
      <c r="H116" s="9">
        <v>0.5719665745</v>
      </c>
      <c r="I116" s="9">
        <v>0.6459034792</v>
      </c>
      <c r="J116" s="9">
        <v>0.5986776275</v>
      </c>
      <c r="K116" s="10">
        <v>35</v>
      </c>
      <c r="L116" s="9">
        <v>0.2255892256</v>
      </c>
      <c r="M116" s="10">
        <v>4</v>
      </c>
      <c r="N116" s="10">
        <f t="shared" si="3"/>
        <v>-1</v>
      </c>
      <c r="O116" s="11">
        <v>41.13271605</v>
      </c>
      <c r="P116" s="11">
        <v>6.047222222</v>
      </c>
      <c r="Q116" s="12">
        <v>0.5146929085</v>
      </c>
      <c r="R116" s="12">
        <v>1.033819339</v>
      </c>
      <c r="S116" s="13">
        <v>0.01969987958</v>
      </c>
      <c r="T116" s="10">
        <v>95</v>
      </c>
    </row>
    <row r="117" spans="1:20">
      <c r="A117" s="6" t="str">
        <f t="shared" si="2"/>
        <v>敏感性</v>
      </c>
      <c r="B117" s="7">
        <v>0.02</v>
      </c>
      <c r="C117" s="8" t="s">
        <v>46</v>
      </c>
      <c r="D117" s="8" t="s">
        <v>50</v>
      </c>
      <c r="E117" s="8" t="s">
        <v>144</v>
      </c>
      <c r="F117" s="9">
        <v>0.9332356667</v>
      </c>
      <c r="G117" s="10">
        <v>24</v>
      </c>
      <c r="H117" s="9">
        <v>0.7612817563</v>
      </c>
      <c r="I117" s="9">
        <v>1</v>
      </c>
      <c r="J117" s="9">
        <v>0.8481298583</v>
      </c>
      <c r="K117" s="10">
        <v>24</v>
      </c>
      <c r="L117" s="9">
        <v>0.1958473625</v>
      </c>
      <c r="M117" s="10">
        <v>5</v>
      </c>
      <c r="N117" s="10">
        <f t="shared" si="3"/>
        <v>19</v>
      </c>
      <c r="O117" s="11">
        <v>40.42147034</v>
      </c>
      <c r="P117" s="11">
        <v>10.2905911</v>
      </c>
      <c r="Q117" s="12">
        <v>1.17184079</v>
      </c>
      <c r="R117" s="12">
        <v>2.058083445</v>
      </c>
      <c r="S117" s="13">
        <v>0.01991650443</v>
      </c>
      <c r="T117" s="10">
        <v>95</v>
      </c>
    </row>
    <row r="118" spans="1:20">
      <c r="A118" s="6" t="str">
        <f t="shared" si="2"/>
        <v>敏感性</v>
      </c>
      <c r="B118" s="7">
        <v>0.02</v>
      </c>
      <c r="C118" s="8" t="s">
        <v>68</v>
      </c>
      <c r="D118" s="8" t="s">
        <v>70</v>
      </c>
      <c r="E118" s="8" t="s">
        <v>164</v>
      </c>
      <c r="F118" s="9">
        <v>0.935603</v>
      </c>
      <c r="G118" s="10">
        <v>19</v>
      </c>
      <c r="H118" s="9">
        <v>0.7999653235</v>
      </c>
      <c r="I118" s="9">
        <v>1</v>
      </c>
      <c r="J118" s="9">
        <v>0.8757259797</v>
      </c>
      <c r="K118" s="10">
        <v>10</v>
      </c>
      <c r="L118" s="9">
        <v>0.1285072952</v>
      </c>
      <c r="M118" s="10">
        <v>6</v>
      </c>
      <c r="N118" s="10">
        <f t="shared" si="3"/>
        <v>13</v>
      </c>
      <c r="O118" s="11">
        <v>33.95563696</v>
      </c>
      <c r="P118" s="11">
        <v>17.30013094</v>
      </c>
      <c r="Q118" s="12">
        <v>1.274685027</v>
      </c>
      <c r="R118" s="12">
        <v>2.235417453</v>
      </c>
      <c r="S118" s="13">
        <v>0.01975099271</v>
      </c>
      <c r="T118" s="10">
        <v>95</v>
      </c>
    </row>
    <row r="119" spans="1:20">
      <c r="A119" s="6" t="str">
        <f t="shared" si="2"/>
        <v>敏感性</v>
      </c>
      <c r="B119" s="7">
        <v>0.02</v>
      </c>
      <c r="C119" s="8" t="s">
        <v>65</v>
      </c>
      <c r="D119" s="8" t="s">
        <v>67</v>
      </c>
      <c r="E119" s="8" t="s">
        <v>146</v>
      </c>
      <c r="F119" s="9">
        <v>0.935761</v>
      </c>
      <c r="G119" s="10">
        <v>18</v>
      </c>
      <c r="H119" s="9">
        <v>0.7957464839</v>
      </c>
      <c r="I119" s="9">
        <v>1</v>
      </c>
      <c r="J119" s="9">
        <v>0.8737457179</v>
      </c>
      <c r="K119" s="10">
        <v>14</v>
      </c>
      <c r="L119" s="9">
        <v>0.1285072952</v>
      </c>
      <c r="M119" s="10">
        <v>6</v>
      </c>
      <c r="N119" s="10">
        <f t="shared" si="3"/>
        <v>12</v>
      </c>
      <c r="O119" s="11">
        <v>33.55331705</v>
      </c>
      <c r="P119" s="11">
        <v>20.51066218</v>
      </c>
      <c r="Q119" s="12">
        <v>1.178329081</v>
      </c>
      <c r="R119" s="12">
        <v>2.070430019</v>
      </c>
      <c r="S119" s="13">
        <v>0.01978679558</v>
      </c>
      <c r="T119" s="10">
        <v>95</v>
      </c>
    </row>
    <row r="120" spans="1:20">
      <c r="A120" s="6" t="str">
        <f t="shared" si="2"/>
        <v>敏感性</v>
      </c>
      <c r="B120" s="7">
        <v>0.02</v>
      </c>
      <c r="C120" s="8" t="s">
        <v>46</v>
      </c>
      <c r="D120" s="8" t="s">
        <v>55</v>
      </c>
      <c r="E120" s="8" t="s">
        <v>151</v>
      </c>
      <c r="F120" s="9">
        <v>0.9397596667</v>
      </c>
      <c r="G120" s="10">
        <v>6</v>
      </c>
      <c r="H120" s="9">
        <v>0.8146330453</v>
      </c>
      <c r="I120" s="9">
        <v>1</v>
      </c>
      <c r="J120" s="9">
        <v>0.883011263</v>
      </c>
      <c r="K120" s="10">
        <v>6</v>
      </c>
      <c r="L120" s="9">
        <v>0.1032547699</v>
      </c>
      <c r="M120" s="10">
        <v>8</v>
      </c>
      <c r="N120" s="10">
        <f t="shared" si="3"/>
        <v>-2</v>
      </c>
      <c r="O120" s="11">
        <v>31.66296296</v>
      </c>
      <c r="P120" s="11">
        <v>48.71090535</v>
      </c>
      <c r="Q120" s="12">
        <v>0.9994649002</v>
      </c>
      <c r="R120" s="12">
        <v>1.778514924</v>
      </c>
      <c r="S120" s="13">
        <v>0.01970131352</v>
      </c>
      <c r="T120" s="10">
        <v>95</v>
      </c>
    </row>
    <row r="121" spans="1:20">
      <c r="A121" s="6" t="str">
        <f t="shared" si="2"/>
        <v>敏感性</v>
      </c>
      <c r="B121" s="7">
        <v>0.02</v>
      </c>
      <c r="C121" s="8" t="s">
        <v>37</v>
      </c>
      <c r="D121" s="8" t="s">
        <v>45</v>
      </c>
      <c r="E121" s="8" t="s">
        <v>152</v>
      </c>
      <c r="F121" s="9">
        <v>0.9391203333</v>
      </c>
      <c r="G121" s="10">
        <v>9</v>
      </c>
      <c r="H121" s="9">
        <v>0.8030257422</v>
      </c>
      <c r="I121" s="9">
        <v>0.987654321</v>
      </c>
      <c r="J121" s="9">
        <v>0.8754466383</v>
      </c>
      <c r="K121" s="10">
        <v>11</v>
      </c>
      <c r="L121" s="9">
        <v>0.09820426487</v>
      </c>
      <c r="M121" s="10">
        <v>9</v>
      </c>
      <c r="N121" s="10">
        <f t="shared" si="3"/>
        <v>0</v>
      </c>
      <c r="O121" s="11">
        <v>34.09444444</v>
      </c>
      <c r="P121" s="11">
        <v>54.92890443</v>
      </c>
      <c r="Q121" s="12">
        <v>1.110561202</v>
      </c>
      <c r="R121" s="12">
        <v>1.956701826</v>
      </c>
      <c r="S121" s="13">
        <v>0.01967911811</v>
      </c>
      <c r="T121" s="10">
        <v>95</v>
      </c>
    </row>
    <row r="122" spans="1:20">
      <c r="A122" s="6" t="str">
        <f t="shared" si="2"/>
        <v>敏感性</v>
      </c>
      <c r="B122" s="7">
        <v>0.02</v>
      </c>
      <c r="C122" s="8" t="s">
        <v>37</v>
      </c>
      <c r="D122" s="8" t="s">
        <v>44</v>
      </c>
      <c r="E122" s="8" t="s">
        <v>162</v>
      </c>
      <c r="F122" s="9">
        <v>0.938496</v>
      </c>
      <c r="G122" s="10">
        <v>10</v>
      </c>
      <c r="H122" s="9">
        <v>0.8034815117</v>
      </c>
      <c r="I122" s="9">
        <v>0.987654321</v>
      </c>
      <c r="J122" s="9">
        <v>0.8748764046</v>
      </c>
      <c r="K122" s="10">
        <v>12</v>
      </c>
      <c r="L122" s="9">
        <v>0.09820426487</v>
      </c>
      <c r="M122" s="10">
        <v>9</v>
      </c>
      <c r="N122" s="10">
        <f t="shared" si="3"/>
        <v>1</v>
      </c>
      <c r="O122" s="11">
        <v>31.25396825</v>
      </c>
      <c r="P122" s="11">
        <v>39.16485366</v>
      </c>
      <c r="Q122" s="12">
        <v>1.238481185</v>
      </c>
      <c r="R122" s="12">
        <v>2.187177895</v>
      </c>
      <c r="S122" s="13">
        <v>0.01970411147</v>
      </c>
      <c r="T122" s="10">
        <v>95</v>
      </c>
    </row>
    <row r="123" spans="1:20">
      <c r="A123" s="6" t="str">
        <f t="shared" si="2"/>
        <v>敏感性</v>
      </c>
      <c r="B123" s="7">
        <v>0.02</v>
      </c>
      <c r="C123" s="8" t="s">
        <v>37</v>
      </c>
      <c r="D123" s="8" t="s">
        <v>43</v>
      </c>
      <c r="E123" s="8" t="s">
        <v>148</v>
      </c>
      <c r="F123" s="9">
        <v>0.9322123333</v>
      </c>
      <c r="G123" s="10">
        <v>27</v>
      </c>
      <c r="H123" s="9">
        <v>0.7829181235</v>
      </c>
      <c r="I123" s="9">
        <v>1</v>
      </c>
      <c r="J123" s="9">
        <v>0.8648905946</v>
      </c>
      <c r="K123" s="10">
        <v>18</v>
      </c>
      <c r="L123" s="9">
        <v>0.09820426487</v>
      </c>
      <c r="M123" s="10">
        <v>9</v>
      </c>
      <c r="N123" s="10">
        <f t="shared" si="3"/>
        <v>18</v>
      </c>
      <c r="O123" s="11">
        <v>37.49074074</v>
      </c>
      <c r="P123" s="11">
        <v>58.77038908</v>
      </c>
      <c r="Q123" s="12">
        <v>0.9266752361</v>
      </c>
      <c r="R123" s="12">
        <v>1.558800558</v>
      </c>
      <c r="S123" s="13">
        <v>0.01960565756</v>
      </c>
      <c r="T123" s="10">
        <v>95</v>
      </c>
    </row>
    <row r="124" spans="1:20">
      <c r="A124" s="6" t="str">
        <f t="shared" si="2"/>
        <v>敏感性</v>
      </c>
      <c r="B124" s="7">
        <v>0.02</v>
      </c>
      <c r="C124" s="8" t="s">
        <v>37</v>
      </c>
      <c r="D124" s="8" t="s">
        <v>48</v>
      </c>
      <c r="E124" s="8" t="s">
        <v>165</v>
      </c>
      <c r="F124" s="9">
        <v>0.9302763333</v>
      </c>
      <c r="G124" s="10">
        <v>31</v>
      </c>
      <c r="H124" s="9">
        <v>0.7770179773</v>
      </c>
      <c r="I124" s="9">
        <v>1</v>
      </c>
      <c r="J124" s="9">
        <v>0.8626825938</v>
      </c>
      <c r="K124" s="10">
        <v>20</v>
      </c>
      <c r="L124" s="9">
        <v>0.09764309764</v>
      </c>
      <c r="M124" s="10">
        <v>12</v>
      </c>
      <c r="N124" s="10">
        <f t="shared" si="3"/>
        <v>19</v>
      </c>
      <c r="O124" s="11">
        <v>30.57103175</v>
      </c>
      <c r="P124" s="11">
        <v>18.20763187</v>
      </c>
      <c r="Q124" s="12">
        <v>1.052504853</v>
      </c>
      <c r="R124" s="12">
        <v>1.819146458</v>
      </c>
      <c r="S124" s="13">
        <v>0.01975033056</v>
      </c>
      <c r="T124" s="10">
        <v>95</v>
      </c>
    </row>
    <row r="125" spans="1:20">
      <c r="A125" s="6" t="str">
        <f t="shared" si="2"/>
        <v>敏感性</v>
      </c>
      <c r="B125" s="7">
        <v>0.02</v>
      </c>
      <c r="C125" s="8" t="s">
        <v>46</v>
      </c>
      <c r="D125" s="8" t="s">
        <v>60</v>
      </c>
      <c r="E125" s="8" t="s">
        <v>172</v>
      </c>
      <c r="F125" s="9">
        <v>0.947993</v>
      </c>
      <c r="G125" s="10">
        <v>1</v>
      </c>
      <c r="H125" s="9">
        <v>0.8228794796</v>
      </c>
      <c r="I125" s="9">
        <v>1</v>
      </c>
      <c r="J125" s="9">
        <v>0.8881851156</v>
      </c>
      <c r="K125" s="10">
        <v>4</v>
      </c>
      <c r="L125" s="9">
        <v>0.08529741863</v>
      </c>
      <c r="M125" s="10">
        <v>13</v>
      </c>
      <c r="N125" s="10">
        <f t="shared" si="3"/>
        <v>-12</v>
      </c>
      <c r="O125" s="11">
        <v>25.52314815</v>
      </c>
      <c r="P125" s="11">
        <v>43.39478114</v>
      </c>
      <c r="Q125" s="12">
        <v>1.061417073</v>
      </c>
      <c r="R125" s="12">
        <v>1.886838206</v>
      </c>
      <c r="S125" s="13">
        <v>0.01986617761</v>
      </c>
      <c r="T125" s="10">
        <v>95</v>
      </c>
    </row>
    <row r="126" spans="1:20">
      <c r="A126" s="6" t="str">
        <f t="shared" si="2"/>
        <v>敏感性</v>
      </c>
      <c r="B126" s="7">
        <v>0.02</v>
      </c>
      <c r="C126" s="8" t="s">
        <v>68</v>
      </c>
      <c r="D126" s="8" t="s">
        <v>72</v>
      </c>
      <c r="E126" s="8" t="s">
        <v>163</v>
      </c>
      <c r="F126" s="9">
        <v>0.9361943333</v>
      </c>
      <c r="G126" s="10">
        <v>16</v>
      </c>
      <c r="H126" s="9">
        <v>0.8093858578</v>
      </c>
      <c r="I126" s="9">
        <v>1</v>
      </c>
      <c r="J126" s="9">
        <v>0.8819539092</v>
      </c>
      <c r="K126" s="10">
        <v>7</v>
      </c>
      <c r="L126" s="9">
        <v>0.07295173962</v>
      </c>
      <c r="M126" s="10">
        <v>14</v>
      </c>
      <c r="N126" s="10">
        <f t="shared" si="3"/>
        <v>2</v>
      </c>
      <c r="O126" s="11">
        <v>29.21097884</v>
      </c>
      <c r="P126" s="11">
        <v>22.75495698</v>
      </c>
      <c r="Q126" s="12">
        <v>1.058898231</v>
      </c>
      <c r="R126" s="12">
        <v>1.854722745</v>
      </c>
      <c r="S126" s="13">
        <v>0.01986959182</v>
      </c>
      <c r="T126" s="10">
        <v>95</v>
      </c>
    </row>
    <row r="127" spans="1:20">
      <c r="A127" s="6" t="str">
        <f t="shared" si="2"/>
        <v>敏感性</v>
      </c>
      <c r="B127" s="7">
        <v>0.02</v>
      </c>
      <c r="C127" s="8" t="s">
        <v>65</v>
      </c>
      <c r="D127" s="8" t="s">
        <v>66</v>
      </c>
      <c r="E127" s="8" t="s">
        <v>156</v>
      </c>
      <c r="F127" s="9">
        <v>0.9338496667</v>
      </c>
      <c r="G127" s="10">
        <v>23</v>
      </c>
      <c r="H127" s="9">
        <v>0.7967225659</v>
      </c>
      <c r="I127" s="9">
        <v>1</v>
      </c>
      <c r="J127" s="9">
        <v>0.8735639615</v>
      </c>
      <c r="K127" s="10">
        <v>15</v>
      </c>
      <c r="L127" s="9">
        <v>0.07295173962</v>
      </c>
      <c r="M127" s="10">
        <v>14</v>
      </c>
      <c r="N127" s="10">
        <f t="shared" si="3"/>
        <v>9</v>
      </c>
      <c r="O127" s="11">
        <v>30.47252747</v>
      </c>
      <c r="P127" s="11">
        <v>24.35540591</v>
      </c>
      <c r="Q127" s="12">
        <v>1.074863449</v>
      </c>
      <c r="R127" s="12">
        <v>1.900497312</v>
      </c>
      <c r="S127" s="13">
        <v>0.01975548875</v>
      </c>
      <c r="T127" s="10">
        <v>95</v>
      </c>
    </row>
    <row r="128" spans="1:20">
      <c r="A128" s="6" t="str">
        <f t="shared" si="2"/>
        <v>敏感性</v>
      </c>
      <c r="B128" s="7">
        <v>0.02</v>
      </c>
      <c r="C128" s="8" t="s">
        <v>46</v>
      </c>
      <c r="D128" s="8" t="s">
        <v>53</v>
      </c>
      <c r="E128" s="8" t="s">
        <v>159</v>
      </c>
      <c r="F128" s="9">
        <v>0.935943</v>
      </c>
      <c r="G128" s="10">
        <v>17</v>
      </c>
      <c r="H128" s="9">
        <v>0.7862364878</v>
      </c>
      <c r="I128" s="9">
        <v>1</v>
      </c>
      <c r="J128" s="9">
        <v>0.8639597081</v>
      </c>
      <c r="K128" s="10">
        <v>19</v>
      </c>
      <c r="L128" s="9">
        <v>0.07295173962</v>
      </c>
      <c r="M128" s="10">
        <v>14</v>
      </c>
      <c r="N128" s="10">
        <f t="shared" si="3"/>
        <v>3</v>
      </c>
      <c r="O128" s="11">
        <v>30.76851852</v>
      </c>
      <c r="P128" s="11">
        <v>38.66348672</v>
      </c>
      <c r="Q128" s="12">
        <v>1.03407837</v>
      </c>
      <c r="R128" s="12">
        <v>1.816049749</v>
      </c>
      <c r="S128" s="13">
        <v>0.01956510182</v>
      </c>
      <c r="T128" s="10">
        <v>95</v>
      </c>
    </row>
    <row r="129" spans="1:20">
      <c r="A129" s="6" t="str">
        <f t="shared" si="2"/>
        <v>敏感性</v>
      </c>
      <c r="B129" s="7">
        <v>0.02</v>
      </c>
      <c r="C129" s="8" t="s">
        <v>33</v>
      </c>
      <c r="D129" s="8" t="s">
        <v>34</v>
      </c>
      <c r="E129" s="8" t="s">
        <v>155</v>
      </c>
      <c r="F129" s="9">
        <v>0.9394566667</v>
      </c>
      <c r="G129" s="10">
        <v>8</v>
      </c>
      <c r="H129" s="9">
        <v>0.8272971368</v>
      </c>
      <c r="I129" s="9">
        <v>1</v>
      </c>
      <c r="J129" s="9">
        <v>0.8918589028</v>
      </c>
      <c r="K129" s="10">
        <v>3</v>
      </c>
      <c r="L129" s="9">
        <v>0.06790123457</v>
      </c>
      <c r="M129" s="10">
        <v>17</v>
      </c>
      <c r="N129" s="10">
        <f t="shared" si="3"/>
        <v>-9</v>
      </c>
      <c r="O129" s="11">
        <v>23.50555556</v>
      </c>
      <c r="P129" s="11">
        <v>58.39973812</v>
      </c>
      <c r="Q129" s="12">
        <v>1.020280551</v>
      </c>
      <c r="R129" s="12">
        <v>1.810165592</v>
      </c>
      <c r="S129" s="13">
        <v>0.01978062079</v>
      </c>
      <c r="T129" s="10">
        <v>95</v>
      </c>
    </row>
    <row r="130" spans="1:20">
      <c r="A130" s="6" t="str">
        <f t="shared" si="2"/>
        <v>敏感性</v>
      </c>
      <c r="B130" s="7">
        <v>0.02</v>
      </c>
      <c r="C130" s="8" t="s">
        <v>46</v>
      </c>
      <c r="D130" s="8" t="s">
        <v>157</v>
      </c>
      <c r="E130" s="8" t="s">
        <v>158</v>
      </c>
      <c r="F130" s="9">
        <v>0.9314533333</v>
      </c>
      <c r="G130" s="10">
        <v>30</v>
      </c>
      <c r="H130" s="9">
        <v>0.7666339909</v>
      </c>
      <c r="I130" s="9">
        <v>1</v>
      </c>
      <c r="J130" s="9">
        <v>0.8428589201</v>
      </c>
      <c r="K130" s="10">
        <v>26</v>
      </c>
      <c r="L130" s="9">
        <v>0.06790123457</v>
      </c>
      <c r="M130" s="10">
        <v>17</v>
      </c>
      <c r="N130" s="10">
        <f t="shared" si="3"/>
        <v>13</v>
      </c>
      <c r="O130" s="11">
        <v>25.7345679</v>
      </c>
      <c r="P130" s="11">
        <v>60.11690984</v>
      </c>
      <c r="Q130" s="12">
        <v>0.9266063541</v>
      </c>
      <c r="R130" s="12">
        <v>1.552104461</v>
      </c>
      <c r="S130" s="13">
        <v>0.01980533197</v>
      </c>
      <c r="T130" s="10">
        <v>95</v>
      </c>
    </row>
    <row r="131" spans="1:20">
      <c r="A131" s="6" t="str">
        <f t="shared" si="2"/>
        <v>敏感性</v>
      </c>
      <c r="B131" s="7">
        <v>0.02</v>
      </c>
      <c r="C131" s="8" t="s">
        <v>37</v>
      </c>
      <c r="D131" s="8" t="s">
        <v>170</v>
      </c>
      <c r="E131" s="8" t="s">
        <v>171</v>
      </c>
      <c r="F131" s="9">
        <v>0.9330516667</v>
      </c>
      <c r="G131" s="10">
        <v>26</v>
      </c>
      <c r="H131" s="9">
        <v>0.7317678337</v>
      </c>
      <c r="I131" s="9">
        <v>1</v>
      </c>
      <c r="J131" s="9">
        <v>0.8225420077</v>
      </c>
      <c r="K131" s="10">
        <v>30</v>
      </c>
      <c r="L131" s="9">
        <v>0.06790123457</v>
      </c>
      <c r="M131" s="10">
        <v>17</v>
      </c>
      <c r="N131" s="10">
        <f t="shared" si="3"/>
        <v>9</v>
      </c>
      <c r="O131" s="11">
        <v>26.88105413</v>
      </c>
      <c r="P131" s="11">
        <v>36.8419379</v>
      </c>
      <c r="Q131" s="12">
        <v>0.9379502919</v>
      </c>
      <c r="R131" s="12">
        <v>1.559824121</v>
      </c>
      <c r="S131" s="13">
        <v>0.01980874369</v>
      </c>
      <c r="T131" s="10">
        <v>95</v>
      </c>
    </row>
    <row r="132" spans="1:20">
      <c r="A132" s="6" t="str">
        <f t="shared" si="2"/>
        <v>敏感性</v>
      </c>
      <c r="B132" s="7">
        <v>0.02</v>
      </c>
      <c r="C132" s="8" t="s">
        <v>46</v>
      </c>
      <c r="D132" s="8" t="s">
        <v>61</v>
      </c>
      <c r="E132" s="8" t="s">
        <v>178</v>
      </c>
      <c r="F132" s="9">
        <v>0.9280213333</v>
      </c>
      <c r="G132" s="10">
        <v>33</v>
      </c>
      <c r="H132" s="9">
        <v>0.5821041099</v>
      </c>
      <c r="I132" s="9">
        <v>0.6616161616</v>
      </c>
      <c r="J132" s="9">
        <v>0.6035914703</v>
      </c>
      <c r="K132" s="10">
        <v>34</v>
      </c>
      <c r="L132" s="9">
        <v>0.06790123457</v>
      </c>
      <c r="M132" s="10">
        <v>17</v>
      </c>
      <c r="N132" s="10">
        <f t="shared" si="3"/>
        <v>16</v>
      </c>
      <c r="O132" s="11">
        <v>35.6</v>
      </c>
      <c r="P132" s="11">
        <v>316.9475309</v>
      </c>
      <c r="Q132" s="12">
        <v>0.06556965066</v>
      </c>
      <c r="R132" s="12">
        <v>0.09573043858</v>
      </c>
      <c r="S132" s="13">
        <v>0.01956675402</v>
      </c>
      <c r="T132" s="10">
        <v>95</v>
      </c>
    </row>
    <row r="133" spans="1:20">
      <c r="A133" s="6" t="str">
        <f t="shared" ref="A133:A148" si="4">IF(B133=0.01,"主结果","敏感性")</f>
        <v>敏感性</v>
      </c>
      <c r="B133" s="7">
        <v>0.02</v>
      </c>
      <c r="C133" s="8" t="s">
        <v>37</v>
      </c>
      <c r="D133" s="8" t="s">
        <v>38</v>
      </c>
      <c r="E133" s="8" t="s">
        <v>161</v>
      </c>
      <c r="F133" s="9">
        <v>0.9343213333</v>
      </c>
      <c r="G133" s="10">
        <v>22</v>
      </c>
      <c r="H133" s="9">
        <v>0.7615027521</v>
      </c>
      <c r="I133" s="9">
        <v>0.962962963</v>
      </c>
      <c r="J133" s="9">
        <v>0.8295387024</v>
      </c>
      <c r="K133" s="10">
        <v>27</v>
      </c>
      <c r="L133" s="9">
        <v>0.06060606061</v>
      </c>
      <c r="M133" s="10">
        <v>21</v>
      </c>
      <c r="N133" s="10">
        <f t="shared" ref="N133:N148" si="5">G133-M133</f>
        <v>1</v>
      </c>
      <c r="O133" s="11">
        <v>31.43055556</v>
      </c>
      <c r="P133" s="11">
        <v>34.89436027</v>
      </c>
      <c r="Q133" s="12">
        <v>0.9520503764</v>
      </c>
      <c r="R133" s="12">
        <v>1.661514352</v>
      </c>
      <c r="S133" s="13">
        <v>0.01960854831</v>
      </c>
      <c r="T133" s="10">
        <v>95</v>
      </c>
    </row>
    <row r="134" spans="1:20">
      <c r="A134" s="6" t="str">
        <f t="shared" si="4"/>
        <v>敏感性</v>
      </c>
      <c r="B134" s="7">
        <v>0.02</v>
      </c>
      <c r="C134" s="8" t="s">
        <v>33</v>
      </c>
      <c r="D134" s="8" t="s">
        <v>36</v>
      </c>
      <c r="E134" s="8" t="s">
        <v>167</v>
      </c>
      <c r="F134" s="9">
        <v>0.931959</v>
      </c>
      <c r="G134" s="10">
        <v>28</v>
      </c>
      <c r="H134" s="9">
        <v>0.755248433</v>
      </c>
      <c r="I134" s="9">
        <v>0.962962963</v>
      </c>
      <c r="J134" s="9">
        <v>0.8213777165</v>
      </c>
      <c r="K134" s="10">
        <v>31</v>
      </c>
      <c r="L134" s="9">
        <v>0.06060606061</v>
      </c>
      <c r="M134" s="10">
        <v>21</v>
      </c>
      <c r="N134" s="10">
        <f t="shared" si="5"/>
        <v>7</v>
      </c>
      <c r="O134" s="11">
        <v>30.18333333</v>
      </c>
      <c r="P134" s="11">
        <v>86.3827862</v>
      </c>
      <c r="Q134" s="12">
        <v>1.078325288</v>
      </c>
      <c r="R134" s="12">
        <v>1.768626528</v>
      </c>
      <c r="S134" s="13">
        <v>0.01965996545</v>
      </c>
      <c r="T134" s="10">
        <v>95</v>
      </c>
    </row>
    <row r="135" spans="1:20">
      <c r="A135" s="6" t="str">
        <f t="shared" si="4"/>
        <v>敏感性</v>
      </c>
      <c r="B135" s="7">
        <v>0.02</v>
      </c>
      <c r="C135" s="8" t="s">
        <v>46</v>
      </c>
      <c r="D135" s="8" t="s">
        <v>59</v>
      </c>
      <c r="E135" s="8" t="s">
        <v>175</v>
      </c>
      <c r="F135" s="9">
        <v>0.939694</v>
      </c>
      <c r="G135" s="10">
        <v>7</v>
      </c>
      <c r="H135" s="9">
        <v>0.7799502966</v>
      </c>
      <c r="I135" s="9">
        <v>0.9203142536</v>
      </c>
      <c r="J135" s="9">
        <v>0.8280859275</v>
      </c>
      <c r="K135" s="10">
        <v>28</v>
      </c>
      <c r="L135" s="9">
        <v>0.05555555556</v>
      </c>
      <c r="M135" s="10">
        <v>23</v>
      </c>
      <c r="N135" s="10">
        <f t="shared" si="5"/>
        <v>-16</v>
      </c>
      <c r="O135" s="11">
        <v>44.83333333</v>
      </c>
      <c r="P135" s="11">
        <v>195.0721417</v>
      </c>
      <c r="Q135" s="12">
        <v>0.09569948872</v>
      </c>
      <c r="R135" s="12">
        <v>0.1588586027</v>
      </c>
      <c r="S135" s="13">
        <v>0.01971114733</v>
      </c>
      <c r="T135" s="10">
        <v>95</v>
      </c>
    </row>
    <row r="136" spans="1:20">
      <c r="A136" s="6" t="str">
        <f t="shared" si="4"/>
        <v>敏感性</v>
      </c>
      <c r="B136" s="7">
        <v>0.02</v>
      </c>
      <c r="C136" s="8" t="s">
        <v>37</v>
      </c>
      <c r="D136" s="8" t="s">
        <v>41</v>
      </c>
      <c r="E136" s="8" t="s">
        <v>166</v>
      </c>
      <c r="F136" s="9">
        <v>0.936701</v>
      </c>
      <c r="G136" s="10">
        <v>15</v>
      </c>
      <c r="H136" s="9">
        <v>0.8327461237</v>
      </c>
      <c r="I136" s="9">
        <v>1</v>
      </c>
      <c r="J136" s="9">
        <v>0.8982279598</v>
      </c>
      <c r="K136" s="10">
        <v>1</v>
      </c>
      <c r="L136" s="9">
        <v>0.04264870932</v>
      </c>
      <c r="M136" s="10">
        <v>24</v>
      </c>
      <c r="N136" s="10">
        <f t="shared" si="5"/>
        <v>-9</v>
      </c>
      <c r="O136" s="11">
        <v>31.56527778</v>
      </c>
      <c r="P136" s="11">
        <v>59.78890759</v>
      </c>
      <c r="Q136" s="12">
        <v>1.027213022</v>
      </c>
      <c r="R136" s="12">
        <v>1.824911593</v>
      </c>
      <c r="S136" s="13">
        <v>0.01961444692</v>
      </c>
      <c r="T136" s="10">
        <v>95</v>
      </c>
    </row>
    <row r="137" spans="1:20">
      <c r="A137" s="6" t="str">
        <f t="shared" si="4"/>
        <v>敏感性</v>
      </c>
      <c r="B137" s="7">
        <v>0.02</v>
      </c>
      <c r="C137" s="8" t="s">
        <v>46</v>
      </c>
      <c r="D137" s="8" t="s">
        <v>49</v>
      </c>
      <c r="E137" s="8" t="s">
        <v>149</v>
      </c>
      <c r="F137" s="9">
        <v>0.9374243333</v>
      </c>
      <c r="G137" s="10">
        <v>13</v>
      </c>
      <c r="H137" s="9">
        <v>0.811602202</v>
      </c>
      <c r="I137" s="9">
        <v>1</v>
      </c>
      <c r="J137" s="9">
        <v>0.8837649997</v>
      </c>
      <c r="K137" s="10">
        <v>5</v>
      </c>
      <c r="L137" s="9">
        <v>0.04264870932</v>
      </c>
      <c r="M137" s="10">
        <v>24</v>
      </c>
      <c r="N137" s="10">
        <f t="shared" si="5"/>
        <v>-11</v>
      </c>
      <c r="O137" s="11">
        <v>30.59814815</v>
      </c>
      <c r="P137" s="11">
        <v>42.10578002</v>
      </c>
      <c r="Q137" s="12">
        <v>1.131512795</v>
      </c>
      <c r="R137" s="12">
        <v>1.99140855</v>
      </c>
      <c r="S137" s="13">
        <v>0.01965277759</v>
      </c>
      <c r="T137" s="10">
        <v>95</v>
      </c>
    </row>
    <row r="138" spans="1:20">
      <c r="A138" s="6" t="str">
        <f t="shared" si="4"/>
        <v>敏感性</v>
      </c>
      <c r="B138" s="7">
        <v>0.02</v>
      </c>
      <c r="C138" s="8" t="s">
        <v>46</v>
      </c>
      <c r="D138" s="8" t="s">
        <v>58</v>
      </c>
      <c r="E138" s="8" t="s">
        <v>174</v>
      </c>
      <c r="F138" s="9">
        <v>0.935391</v>
      </c>
      <c r="G138" s="10">
        <v>21</v>
      </c>
      <c r="H138" s="9">
        <v>0.8140106991</v>
      </c>
      <c r="I138" s="9">
        <v>1</v>
      </c>
      <c r="J138" s="9">
        <v>0.8762008448</v>
      </c>
      <c r="K138" s="10">
        <v>9</v>
      </c>
      <c r="L138" s="9">
        <v>0.04264870932</v>
      </c>
      <c r="M138" s="10">
        <v>24</v>
      </c>
      <c r="N138" s="10">
        <f t="shared" si="5"/>
        <v>-3</v>
      </c>
      <c r="O138" s="11">
        <v>34.72222222</v>
      </c>
      <c r="P138" s="11">
        <v>64.99803591</v>
      </c>
      <c r="Q138" s="12">
        <v>0.4743534758</v>
      </c>
      <c r="R138" s="12">
        <v>0.8447467119</v>
      </c>
      <c r="S138" s="13">
        <v>0.01973346089</v>
      </c>
      <c r="T138" s="10">
        <v>95</v>
      </c>
    </row>
    <row r="139" spans="1:20">
      <c r="A139" s="6" t="str">
        <f t="shared" si="4"/>
        <v>敏感性</v>
      </c>
      <c r="B139" s="7">
        <v>0.02</v>
      </c>
      <c r="C139" s="8" t="s">
        <v>68</v>
      </c>
      <c r="D139" s="8" t="s">
        <v>71</v>
      </c>
      <c r="E139" s="8" t="s">
        <v>145</v>
      </c>
      <c r="F139" s="9">
        <v>0.9355223333</v>
      </c>
      <c r="G139" s="10">
        <v>20</v>
      </c>
      <c r="H139" s="9">
        <v>0.7988493703</v>
      </c>
      <c r="I139" s="9">
        <v>1</v>
      </c>
      <c r="J139" s="9">
        <v>0.8745988228</v>
      </c>
      <c r="K139" s="10">
        <v>13</v>
      </c>
      <c r="L139" s="9">
        <v>0.04264870932</v>
      </c>
      <c r="M139" s="10">
        <v>24</v>
      </c>
      <c r="N139" s="10">
        <f t="shared" si="5"/>
        <v>-4</v>
      </c>
      <c r="O139" s="11">
        <v>30.98253968</v>
      </c>
      <c r="P139" s="11">
        <v>24.1889263</v>
      </c>
      <c r="Q139" s="12">
        <v>1.192549747</v>
      </c>
      <c r="R139" s="12">
        <v>2.108600993</v>
      </c>
      <c r="S139" s="13">
        <v>0.01954363481</v>
      </c>
      <c r="T139" s="10">
        <v>95</v>
      </c>
    </row>
    <row r="140" spans="1:20">
      <c r="A140" s="6" t="str">
        <f t="shared" si="4"/>
        <v>敏感性</v>
      </c>
      <c r="B140" s="7">
        <v>0.02</v>
      </c>
      <c r="C140" s="8" t="s">
        <v>68</v>
      </c>
      <c r="D140" s="8" t="s">
        <v>69</v>
      </c>
      <c r="E140" s="8" t="s">
        <v>153</v>
      </c>
      <c r="F140" s="9">
        <v>0.9282393333</v>
      </c>
      <c r="G140" s="10">
        <v>32</v>
      </c>
      <c r="H140" s="9">
        <v>0.7936871085</v>
      </c>
      <c r="I140" s="9">
        <v>1</v>
      </c>
      <c r="J140" s="9">
        <v>0.8687361714</v>
      </c>
      <c r="K140" s="10">
        <v>16</v>
      </c>
      <c r="L140" s="9">
        <v>0.04264870932</v>
      </c>
      <c r="M140" s="10">
        <v>24</v>
      </c>
      <c r="N140" s="10">
        <f t="shared" si="5"/>
        <v>8</v>
      </c>
      <c r="O140" s="11">
        <v>23.01349206</v>
      </c>
      <c r="P140" s="11">
        <v>26.22138047</v>
      </c>
      <c r="Q140" s="12">
        <v>1.216084134</v>
      </c>
      <c r="R140" s="12">
        <v>2.122609496</v>
      </c>
      <c r="S140" s="13">
        <v>0.01970123026</v>
      </c>
      <c r="T140" s="10">
        <v>95</v>
      </c>
    </row>
    <row r="141" spans="1:20">
      <c r="A141" s="6" t="str">
        <f t="shared" si="4"/>
        <v>敏感性</v>
      </c>
      <c r="B141" s="7">
        <v>0.02</v>
      </c>
      <c r="C141" s="8" t="s">
        <v>46</v>
      </c>
      <c r="D141" s="8" t="s">
        <v>51</v>
      </c>
      <c r="E141" s="8" t="s">
        <v>154</v>
      </c>
      <c r="F141" s="9">
        <v>0.9373393333</v>
      </c>
      <c r="G141" s="10">
        <v>14</v>
      </c>
      <c r="H141" s="9">
        <v>0.7891235911</v>
      </c>
      <c r="I141" s="9">
        <v>1</v>
      </c>
      <c r="J141" s="9">
        <v>0.8673533916</v>
      </c>
      <c r="K141" s="10">
        <v>17</v>
      </c>
      <c r="L141" s="9">
        <v>0.04264870932</v>
      </c>
      <c r="M141" s="10">
        <v>24</v>
      </c>
      <c r="N141" s="10">
        <f t="shared" si="5"/>
        <v>-10</v>
      </c>
      <c r="O141" s="11">
        <v>29.72588523</v>
      </c>
      <c r="P141" s="11">
        <v>25.61232697</v>
      </c>
      <c r="Q141" s="12">
        <v>1.169879456</v>
      </c>
      <c r="R141" s="12">
        <v>2.058387606</v>
      </c>
      <c r="S141" s="13">
        <v>0.01967951844</v>
      </c>
      <c r="T141" s="10">
        <v>95</v>
      </c>
    </row>
    <row r="142" spans="1:20">
      <c r="A142" s="6" t="str">
        <f t="shared" si="4"/>
        <v>敏感性</v>
      </c>
      <c r="B142" s="7">
        <v>0.02</v>
      </c>
      <c r="C142" s="8" t="s">
        <v>33</v>
      </c>
      <c r="D142" s="8" t="s">
        <v>35</v>
      </c>
      <c r="E142" s="8" t="s">
        <v>169</v>
      </c>
      <c r="F142" s="9">
        <v>0.9331393333</v>
      </c>
      <c r="G142" s="10">
        <v>25</v>
      </c>
      <c r="H142" s="9">
        <v>0.7758809043</v>
      </c>
      <c r="I142" s="9">
        <v>1</v>
      </c>
      <c r="J142" s="9">
        <v>0.855832948</v>
      </c>
      <c r="K142" s="10">
        <v>21</v>
      </c>
      <c r="L142" s="9">
        <v>0.04264870932</v>
      </c>
      <c r="M142" s="10">
        <v>24</v>
      </c>
      <c r="N142" s="10">
        <f t="shared" si="5"/>
        <v>1</v>
      </c>
      <c r="O142" s="11">
        <v>24.65925926</v>
      </c>
      <c r="P142" s="11">
        <v>24.55340441</v>
      </c>
      <c r="Q142" s="12">
        <v>1.184616942</v>
      </c>
      <c r="R142" s="12">
        <v>2.025383987</v>
      </c>
      <c r="S142" s="13">
        <v>0.01979778115</v>
      </c>
      <c r="T142" s="10">
        <v>95</v>
      </c>
    </row>
    <row r="143" spans="1:20">
      <c r="A143" s="6" t="str">
        <f t="shared" si="4"/>
        <v>敏感性</v>
      </c>
      <c r="B143" s="7">
        <v>0.02</v>
      </c>
      <c r="C143" s="8" t="s">
        <v>46</v>
      </c>
      <c r="D143" s="8" t="s">
        <v>57</v>
      </c>
      <c r="E143" s="8" t="s">
        <v>147</v>
      </c>
      <c r="F143" s="9">
        <v>0.9422473333</v>
      </c>
      <c r="G143" s="10">
        <v>4</v>
      </c>
      <c r="H143" s="9">
        <v>0.7743136727</v>
      </c>
      <c r="I143" s="9">
        <v>1</v>
      </c>
      <c r="J143" s="9">
        <v>0.8542632845</v>
      </c>
      <c r="K143" s="10">
        <v>22</v>
      </c>
      <c r="L143" s="9">
        <v>0.04264870932</v>
      </c>
      <c r="M143" s="10">
        <v>24</v>
      </c>
      <c r="N143" s="10">
        <f t="shared" si="5"/>
        <v>-20</v>
      </c>
      <c r="O143" s="11">
        <v>25.70767196</v>
      </c>
      <c r="P143" s="11">
        <v>47.94837262</v>
      </c>
      <c r="Q143" s="12">
        <v>1.071960339</v>
      </c>
      <c r="R143" s="12">
        <v>1.816691572</v>
      </c>
      <c r="S143" s="13">
        <v>0.01968760476</v>
      </c>
      <c r="T143" s="10">
        <v>95</v>
      </c>
    </row>
    <row r="144" spans="1:20">
      <c r="A144" s="6" t="str">
        <f t="shared" si="4"/>
        <v>敏感性</v>
      </c>
      <c r="B144" s="7">
        <v>0.02</v>
      </c>
      <c r="C144" s="8" t="s">
        <v>73</v>
      </c>
      <c r="D144" s="8" t="s">
        <v>74</v>
      </c>
      <c r="E144" s="8" t="s">
        <v>168</v>
      </c>
      <c r="F144" s="9">
        <v>0.931533</v>
      </c>
      <c r="G144" s="10">
        <v>29</v>
      </c>
      <c r="H144" s="9">
        <v>0.7889057061</v>
      </c>
      <c r="I144" s="9">
        <v>0.975308642</v>
      </c>
      <c r="J144" s="9">
        <v>0.8442979191</v>
      </c>
      <c r="K144" s="10">
        <v>25</v>
      </c>
      <c r="L144" s="9">
        <v>0.0303030303</v>
      </c>
      <c r="M144" s="10">
        <v>32</v>
      </c>
      <c r="N144" s="10">
        <f t="shared" si="5"/>
        <v>-3</v>
      </c>
      <c r="O144" s="11">
        <v>28.05555556</v>
      </c>
      <c r="P144" s="11">
        <v>68.44255892</v>
      </c>
      <c r="Q144" s="12">
        <v>0.6017935763</v>
      </c>
      <c r="R144" s="12">
        <v>1.066909436</v>
      </c>
      <c r="S144" s="13">
        <v>0.01971825795</v>
      </c>
      <c r="T144" s="10">
        <v>95</v>
      </c>
    </row>
    <row r="145" spans="1:20">
      <c r="A145" s="6" t="str">
        <f t="shared" si="4"/>
        <v>敏感性</v>
      </c>
      <c r="B145" s="7">
        <v>0.02</v>
      </c>
      <c r="C145" s="8" t="s">
        <v>37</v>
      </c>
      <c r="D145" s="8" t="s">
        <v>42</v>
      </c>
      <c r="E145" s="8" t="s">
        <v>160</v>
      </c>
      <c r="F145" s="9">
        <v>0.9382506667</v>
      </c>
      <c r="G145" s="10">
        <v>12</v>
      </c>
      <c r="H145" s="9">
        <v>0.8427455663</v>
      </c>
      <c r="I145" s="9">
        <v>1</v>
      </c>
      <c r="J145" s="9">
        <v>0.8968109032</v>
      </c>
      <c r="K145" s="10">
        <v>2</v>
      </c>
      <c r="L145" s="9">
        <v>0.01234567901</v>
      </c>
      <c r="M145" s="10">
        <v>33</v>
      </c>
      <c r="N145" s="10">
        <f t="shared" si="5"/>
        <v>-21</v>
      </c>
      <c r="O145" s="11">
        <v>32.39444444</v>
      </c>
      <c r="P145" s="11">
        <v>44.97792742</v>
      </c>
      <c r="Q145" s="12">
        <v>0.8758403707</v>
      </c>
      <c r="R145" s="12">
        <v>1.565963327</v>
      </c>
      <c r="S145" s="13">
        <v>0.01983646875</v>
      </c>
      <c r="T145" s="10">
        <v>95</v>
      </c>
    </row>
    <row r="146" spans="1:20">
      <c r="A146" s="6" t="str">
        <f t="shared" si="4"/>
        <v>敏感性</v>
      </c>
      <c r="B146" s="7">
        <v>0.02</v>
      </c>
      <c r="C146" s="8" t="s">
        <v>46</v>
      </c>
      <c r="D146" s="8" t="s">
        <v>64</v>
      </c>
      <c r="E146" s="8" t="s">
        <v>177</v>
      </c>
      <c r="F146" s="9">
        <v>0.940772</v>
      </c>
      <c r="G146" s="10">
        <v>5</v>
      </c>
      <c r="H146" s="9">
        <v>0.6965491603</v>
      </c>
      <c r="I146" s="9">
        <v>0.9259259259</v>
      </c>
      <c r="J146" s="9">
        <v>0.7657636345</v>
      </c>
      <c r="K146" s="10">
        <v>32</v>
      </c>
      <c r="L146" s="9">
        <v>0.01234567901</v>
      </c>
      <c r="M146" s="10">
        <v>33</v>
      </c>
      <c r="N146" s="10">
        <f t="shared" si="5"/>
        <v>-28</v>
      </c>
      <c r="O146" s="11">
        <v>28.75</v>
      </c>
      <c r="P146" s="11">
        <v>181.6649832</v>
      </c>
      <c r="Q146" s="12">
        <v>0.4517072761</v>
      </c>
      <c r="R146" s="12">
        <v>0.7337676954</v>
      </c>
      <c r="S146" s="13">
        <v>0.01963154937</v>
      </c>
      <c r="T146" s="10">
        <v>95</v>
      </c>
    </row>
    <row r="147" spans="1:20">
      <c r="A147" s="6" t="str">
        <f t="shared" si="4"/>
        <v>敏感性</v>
      </c>
      <c r="B147" s="7">
        <v>0.02</v>
      </c>
      <c r="C147" s="8" t="s">
        <v>37</v>
      </c>
      <c r="D147" s="8" t="s">
        <v>40</v>
      </c>
      <c r="E147" s="8" t="s">
        <v>173</v>
      </c>
      <c r="F147" s="9">
        <v>0.946863</v>
      </c>
      <c r="G147" s="10">
        <v>2</v>
      </c>
      <c r="H147" s="9">
        <v>0.8637298915</v>
      </c>
      <c r="I147" s="9">
        <v>0.9079685746</v>
      </c>
      <c r="J147" s="9">
        <v>0.8787504676</v>
      </c>
      <c r="K147" s="10">
        <v>8</v>
      </c>
      <c r="L147" s="9">
        <v>0</v>
      </c>
      <c r="M147" s="10">
        <v>35</v>
      </c>
      <c r="N147" s="10">
        <f t="shared" si="5"/>
        <v>-33</v>
      </c>
      <c r="O147" s="11">
        <v>23.91666667</v>
      </c>
      <c r="P147" s="11">
        <v>238.5292929</v>
      </c>
      <c r="Q147" s="12">
        <v>0.04986706472</v>
      </c>
      <c r="R147" s="12">
        <v>0.08497741459</v>
      </c>
      <c r="S147" s="13">
        <v>0.01977265512</v>
      </c>
      <c r="T147" s="10">
        <v>95</v>
      </c>
    </row>
    <row r="148" spans="1:20">
      <c r="A148" s="6" t="str">
        <f t="shared" si="4"/>
        <v>敏感性</v>
      </c>
      <c r="B148" s="7">
        <v>0.02</v>
      </c>
      <c r="C148" s="8" t="s">
        <v>46</v>
      </c>
      <c r="D148" s="8" t="s">
        <v>62</v>
      </c>
      <c r="E148" s="8" t="s">
        <v>176</v>
      </c>
      <c r="F148" s="9">
        <v>0.9269896667</v>
      </c>
      <c r="G148" s="10">
        <v>35</v>
      </c>
      <c r="H148" s="9">
        <v>0.6232764835</v>
      </c>
      <c r="I148" s="9">
        <v>0.8097643098</v>
      </c>
      <c r="J148" s="9">
        <v>0.6841097528</v>
      </c>
      <c r="K148" s="10">
        <v>33</v>
      </c>
      <c r="L148" s="9">
        <v>0</v>
      </c>
      <c r="M148" s="10">
        <v>35</v>
      </c>
      <c r="N148" s="10">
        <f t="shared" si="5"/>
        <v>0</v>
      </c>
      <c r="O148" s="11">
        <v>21.95833333</v>
      </c>
      <c r="P148" s="11">
        <v>202.1361552</v>
      </c>
      <c r="Q148" s="12">
        <v>0.1908680334</v>
      </c>
      <c r="R148" s="12">
        <v>0.2924213121</v>
      </c>
      <c r="S148" s="13">
        <v>0.01955756784</v>
      </c>
      <c r="T148" s="10">
        <v>95</v>
      </c>
    </row>
  </sheetData>
  <mergeCells count="3">
    <mergeCell ref="A1:T1"/>
    <mergeCell ref="A2:T2"/>
    <mergeCell ref="A3:T3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单风场测量指标</vt:lpstr>
      <vt:lpstr>成本指标</vt:lpstr>
      <vt:lpstr>corss_turbine</vt:lpstr>
      <vt:lpstr>A源跨风场</vt:lpstr>
      <vt:lpstr>B源跨风场</vt:lpstr>
      <vt:lpstr>C源跨风场</vt:lpstr>
      <vt:lpstr>RQ3总表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潘小乐</cp:lastModifiedBy>
  <dcterms:created xsi:type="dcterms:W3CDTF">2026-08-16T11:10:00Z</dcterms:created>
  <dcterms:modified xsi:type="dcterms:W3CDTF">2026-08-27T13:27:44Z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3FFE048CC3A648F598563DF6F72D5ED7_12</vt:lpwstr>
  </property>
  <property fmtid="{D5CDD505-2E9C-101B-9397-08002B2CF9AE}" pid="3" name="KSOProductBuildVer">
    <vt:lpwstr>2052-12.1.0.23542</vt:lpwstr>
  </property>
</Properties>
</file>